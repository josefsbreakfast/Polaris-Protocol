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ddbfbba768142e4" /></Relationships>
</file>

<file path=xl/workbook.xml><?xml version="1.0" encoding="utf-8"?>
<x:workbook xmlns:x="http://schemas.openxmlformats.org/spreadsheetml/2006/main">
  <x:sheets>
    <x:sheet xmlns:r="http://schemas.openxmlformats.org/officeDocument/2006/relationships" name="Incident Register" sheetId="1" r:id="R7a824120cf82482e"/>
    <x:sheet xmlns:r="http://schemas.openxmlformats.org/officeDocument/2006/relationships" name="Summary" sheetId="2" r:id="R9f28e87a7de34e6a"/>
    <x:sheet xmlns:r="http://schemas.openxmlformats.org/officeDocument/2006/relationships" name="Pattern Watch" sheetId="3" r:id="Rdef70be81e694136"/>
    <x:sheet xmlns:r="http://schemas.openxmlformats.org/officeDocument/2006/relationships" name="Method &amp; Scope" sheetId="4" r:id="R86c6f89ef2f84dc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5">
    <x:font>
      <x:sz val="11"/>
      <x:name val="Carlito"/>
    </x:font>
    <x:font>
      <x:b/>
      <x:sz val="11"/>
      <x:color rgb="FFFFFFFF"/>
      <x:name val="Carlito"/>
    </x:font>
    <x:font>
      <x:b/>
      <x:sz val="16"/>
      <x:color rgb="FFFFFFFF"/>
      <x:name val="Carlito"/>
    </x:font>
    <x:font>
      <x:b/>
      <x:sz val="11"/>
      <x:name val="Carlito"/>
    </x:font>
    <x:font>
      <x:i/>
      <x:sz val="11"/>
      <x:name val="Carlito"/>
    </x:font>
  </x:fonts>
  <x:fills count="5">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FFF4CC"/>
      </x:patternFill>
    </x:fill>
  </x:fills>
  <x:borders count="2">
    <x:border/>
    <x:border/>
  </x:borders>
  <x:cellStyleXfs count="1">
    <x:xf numFmtId="0" fontId="0" fillId="0" borderId="0"/>
  </x:cellStyleXfs>
  <x:cellXfs count="39">
    <x:xf numFmtId="0" fontId="0" fillId="0" borderId="0" xfId="0"/>
    <x:xf numFmtId="0"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1" xfId="0" applyNumberFormat="1" applyFont="1" applyFill="1" applyBorder="1"/>
    <x:xf numFmtId="0" fontId="2" fillId="2" borderId="1" xfId="0" applyNumberFormat="1" applyFont="1" applyFill="1" applyBorder="1" applyAlignment="1">
      <x:alignment horizontal="center"/>
    </x:xf>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0" fontId="3" fillId="3" borderId="0" xfId="0" applyNumberFormat="1" applyFont="1" applyFill="1" applyBorder="1" applyAlignment="1">
      <x:alignment wrapText="1"/>
    </x:xf>
    <x:xf numFmtId="0" fontId="3" fillId="3" borderId="1" xfId="0" applyNumberFormat="1" applyFont="1" applyFill="1" applyBorder="1" applyAlignment="1">
      <x:alignment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0" fillId="0" borderId="0" xfId="0" applyNumberFormat="1" applyFont="1" applyFill="1" applyBorder="1"/>
  </x:cellXfs>
  <x:cellStyles count="1">
    <x:cellStyle name="Normal" xfId="0"/>
  </x:cellStyles>
  <x:dxfs count="12">
    <x:dxf>
      <x:font>
        <x:color rgb="FF166534"/>
      </x:font>
      <x:fill>
        <x:patternFill>
          <x:bgColor rgb="FFDCFCE7"/>
        </x:patternFill>
      </x:fill>
    </x:dxf>
    <x:dxf>
      <x:font>
        <x:color rgb="FF92400E"/>
      </x:font>
      <x:fill>
        <x:patternFill>
          <x:bgColor rgb="FFFEF3C7"/>
        </x:patternFill>
      </x:fill>
    </x:dxf>
    <x:dxf>
      <x:font>
        <x:color rgb="FF9A3412"/>
      </x:font>
      <x:fill>
        <x:patternFill>
          <x:bgColor rgb="FFFFEDD5"/>
        </x:patternFill>
      </x:fill>
    </x:dxf>
    <x:dxf>
      <x:font>
        <x:color rgb="FF374151"/>
      </x:font>
      <x:fill>
        <x:patternFill>
          <x:bgColor rgb="FFF3F4F6"/>
        </x:patternFill>
      </x:fill>
    </x:dxf>
    <x:dxf>
      <x:font>
        <x:color rgb="FF166534"/>
      </x:font>
      <x:fill>
        <x:patternFill>
          <x:bgColor rgb="FFDCFCE7"/>
        </x:patternFill>
      </x:fill>
    </x:dxf>
    <x:dxf>
      <x:font>
        <x:color rgb="FF92400E"/>
      </x:font>
      <x:fill>
        <x:patternFill>
          <x:bgColor rgb="FFFEF3C7"/>
        </x:patternFill>
      </x:fill>
    </x:dxf>
    <x:dxf>
      <x:font>
        <x:color rgb="FF9A3412"/>
      </x:font>
      <x:fill>
        <x:patternFill>
          <x:bgColor rgb="FFFFEDD5"/>
        </x:patternFill>
      </x:fill>
    </x:dxf>
    <x:dxf>
      <x:font>
        <x:color rgb="FF374151"/>
      </x:font>
      <x:fill>
        <x:patternFill>
          <x:bgColor rgb="FFF3F4F6"/>
        </x:patternFill>
      </x:fill>
    </x:dxf>
    <x:dxf>
      <x:font>
        <x:color rgb="FF166534"/>
      </x:font>
      <x:fill>
        <x:patternFill>
          <x:bgColor rgb="FFDCFCE7"/>
        </x:patternFill>
      </x:fill>
    </x:dxf>
    <x:dxf>
      <x:font>
        <x:color rgb="FF92400E"/>
      </x:font>
      <x:fill>
        <x:patternFill>
          <x:bgColor rgb="FFFEF3C7"/>
        </x:patternFill>
      </x:fill>
    </x:dxf>
    <x:dxf>
      <x:font>
        <x:color rgb="FF9A3412"/>
      </x:font>
      <x:fill>
        <x:patternFill>
          <x:bgColor rgb="FFFFEDD5"/>
        </x:patternFill>
      </x:fill>
    </x:dxf>
    <x:dxf>
      <x:font>
        <x:color rgb="FF374151"/>
      </x:font>
      <x:fill>
        <x:patternFill>
          <x:bgColor rgb="FFF3F4F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8e10657af3946b5" /><Relationship Type="http://schemas.openxmlformats.org/officeDocument/2006/relationships/theme" Target="/xl/theme/theme1.xml" Id="Rfe820fd5fc564aac" /><Relationship Type="http://schemas.openxmlformats.org/officeDocument/2006/relationships/sharedStrings" Target="/xl/sharedStrings.xml" Id="Rc21997b2fc714e9d" /><Relationship Type="http://schemas.openxmlformats.org/officeDocument/2006/relationships/worksheet" Target="/xl/worksheets/sheet1.xml" Id="R7a824120cf82482e" /><Relationship Type="http://schemas.openxmlformats.org/officeDocument/2006/relationships/worksheet" Target="/xl/worksheets/sheet2.xml" Id="R9f28e87a7de34e6a" /><Relationship Type="http://schemas.openxmlformats.org/officeDocument/2006/relationships/worksheet" Target="/xl/worksheets/sheet3.xml" Id="Rdef70be81e694136" /><Relationship Type="http://schemas.openxmlformats.org/officeDocument/2006/relationships/worksheet" Target="/xl/worksheets/sheet4.xml" Id="R86c6f89ef2f84dc8" /></Relationships>
</file>

<file path=xl/drawings/_rels/drawing1.xml.rels>&#65279;<?xml version="1.0" encoding="utf-8"?><Relationships xmlns="http://schemas.openxmlformats.org/package/2006/relationships"><Relationship Type="http://schemas.openxmlformats.org/officeDocument/2006/relationships/chart" Target="/xl/drawings/charts/chart1.xml" Id="Re54e0a43d88741d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by sector family</a:t>
            </a:r>
          </a:p>
        </c:rich>
      </c:tx>
    </c:title>
    <c:plotArea>
      <c:barChart>
        <c:barDir val="col"/>
        <c:varyColors val="0"/>
        <c:ser>
          <c:idx val="0"/>
          <c:order val="0"/>
          <c:tx>
            <c:v>Count</c:v>
          </c:tx>
          <c:cat>
            <c:strRef>
              <c:f>'Summary'!$A$12:$A$18</c:f>
              <c:strCache>
                <c:ptCount val="0"/>
              </c:strCache>
            </c:strRef>
          </c:cat>
          <c:val>
            <c:numRef>
              <c:f>'Summary'!$B$12:$B$18</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2</xdr:row>
      <xdr:rowOff>0</xdr:rowOff>
    </xdr:from>
    <xdr:to>
      <xdr:col>11</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54e0a43d88741d1"/>
        </a:graphicData>
      </a:graphic>
    </xdr:graphicFrame>
    <xdr:clientData/>
  </xdr:twoCellAnchor>
</xdr:wsDr>
</file>

<file path=xl/tables/table1.xml><?xml version="1.0" encoding="utf-8"?>
<x:table xmlns:x="http://schemas.openxmlformats.org/spreadsheetml/2006/main" id="1" name="IncidentRegisterTable" displayName="IncidentRegisterTable" ref="A1:AE19" headerRowCount="1" totalsRowCount="0" totalsRowShown="0">
  <x:tableColumns count="31">
    <x:tableColumn id="1" name="Date"/>
    <x:tableColumn id="2" name="Record Type"/>
    <x:tableColumn id="3" name="Country / Region"/>
    <x:tableColumn id="4" name="Sector"/>
    <x:tableColumn id="5" name="Sector Family"/>
    <x:tableColumn id="6" name="Affected Body"/>
    <x:tableColumn id="7" name="What Happened"/>
    <x:tableColumn id="8" name="System Layer"/>
    <x:tableColumn id="9" name="Operational Effect"/>
    <x:tableColumn id="10" name="Physical / Data Effect"/>
    <x:tableColumn id="11" name="Claim Status"/>
    <x:tableColumn id="12" name="Claimed Actor"/>
    <x:tableColumn id="13" name="Technical Operator / Group"/>
    <x:tableColumn id="14" name="State Relationship"/>
    <x:tableColumn id="15" name="Public Government Attribution"/>
    <x:tableColumn id="16" name="Incident Traffic Light"/>
    <x:tableColumn id="17" name="Effect Traffic Light"/>
    <x:tableColumn id="18" name="Attribution Traffic Light"/>
    <x:tableColumn id="19" name="Relationship Confidence"/>
    <x:tableColumn id="20" name="Pattern Status"/>
    <x:tableColumn id="21" name="Iran-War Relevance"/>
    <x:tableColumn id="22" name="Iran Attribution"/>
    <x:tableColumn id="23" name="Iran Attribution Class"/>
    <x:tableColumn id="24" name="Rival Explanations"/>
    <x:tableColumn id="25" name="Severity / Significance"/>
    <x:tableColumn id="26" name="Negative Findings"/>
    <x:tableColumn id="27" name="Sources"/>
    <x:tableColumn id="28" name="Source Tier"/>
    <x:tableColumn id="29" name="Last Reviewed"/>
    <x:tableColumn id="30" name="Correction Status"/>
    <x:tableColumn id="31" name="Attribution History"/>
  </x:tableColumns>
  <x:tableStyleInfo name="TableStyleMedium2" showFirstColumn="0" showLastColumn="0" showRowStripes="1" showColumnStripes="0"/>
</x:table>
</file>

<file path=xl/tables/table2.xml><?xml version="1.0" encoding="utf-8"?>
<x:table xmlns:x="http://schemas.openxmlformats.org/spreadsheetml/2006/main" id="2" name="PatternWatchTable" displayName="PatternWatchTable" ref="A1:O3" headerRowCount="1" totalsRowCount="0" totalsRowShown="0">
  <x:tableColumns count="15">
    <x:tableColumn id="1" name="Campaign / Cluster"/>
    <x:tableColumn id="2" name="First Observed"/>
    <x:tableColumn id="3" name="Latest Observed"/>
    <x:tableColumn id="4" name="Countries / Region"/>
    <x:tableColumn id="5" name="Sectors"/>
    <x:tableColumn id="6" name="Pattern Status"/>
    <x:tableColumn id="7" name="Common Operator Confidence"/>
    <x:tableColumn id="8" name="Common Sponsor Confidence"/>
    <x:tableColumn id="9" name="Iranian Link"/>
    <x:tableColumn id="10" name="Operational Development"/>
    <x:tableColumn id="11" name="Attribution Development"/>
    <x:tableColumn id="12" name="Rival Explanations"/>
    <x:tableColumn id="13" name="Trend Change Since 28 Feb"/>
    <x:tableColumn id="14" name="Sources"/>
    <x:tableColumn id="15" name="Last Reviewe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e3e944ec38a445d" /></Relationships>
</file>

<file path=xl/worksheets/_rels/sheet2.xml.rels>&#65279;<?xml version="1.0" encoding="utf-8"?><Relationships xmlns="http://schemas.openxmlformats.org/package/2006/relationships"><Relationship Type="http://schemas.openxmlformats.org/officeDocument/2006/relationships/drawing" Target="/xl/drawings/drawing1.xml" Id="R0c057311ac6a4417" /></Relationships>
</file>

<file path=xl/worksheets/_rels/sheet3.xml.rels>&#65279;<?xml version="1.0" encoding="utf-8"?><Relationships xmlns="http://schemas.openxmlformats.org/package/2006/relationships"><Relationship Type="http://schemas.openxmlformats.org/officeDocument/2006/relationships/table" Target="/xl/tables/table2.xml" Id="Raeac6f4cde7e403a" /></Relationships>
</file>

<file path=xl/worksheets/sheet1.xml><?xml version="1.0" encoding="utf-8"?>
<x:worksheet xmlns:x="http://schemas.openxmlformats.org/spreadsheetml/2006/main">
  <x:sheetFormatPr defaultRowHeight="15"/>
  <x:cols>
    <x:col min="1" max="1" width="12" hidden="0" customWidth="1"/>
    <x:col min="2" max="2" width="24" hidden="0" customWidth="1"/>
    <x:col min="3" max="3" width="24" hidden="0" customWidth="1"/>
    <x:col min="4" max="4" width="24" hidden="0" customWidth="1"/>
    <x:col min="5" max="5" width="24" hidden="0" customWidth="1"/>
    <x:col min="6" max="6" width="24" hidden="0" customWidth="1"/>
    <x:col min="7" max="7" width="44" hidden="0" customWidth="1"/>
    <x:col min="8" max="8" width="24" hidden="0" customWidth="1"/>
    <x:col min="9" max="9" width="38" hidden="0" customWidth="1"/>
    <x:col min="10" max="10" width="38" hidden="0" customWidth="1"/>
    <x:col min="11" max="11" width="24" hidden="0" customWidth="1"/>
    <x:col min="12" max="12" width="24" hidden="0" customWidth="1"/>
    <x:col min="13" max="13" width="24" hidden="0" customWidth="1"/>
    <x:col min="14" max="14" width="40" hidden="0" customWidth="1"/>
    <x:col min="15" max="15" width="3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0" hidden="0" customWidth="1"/>
    <x:col min="24" max="24" width="40" hidden="0" customWidth="1"/>
    <x:col min="25" max="25" width="32" hidden="0" customWidth="1"/>
    <x:col min="26" max="26" width="34" hidden="0" customWidth="1"/>
    <x:col min="27" max="27" width="45" hidden="0" customWidth="1"/>
    <x:col min="28" max="28" width="24" hidden="0" customWidth="1"/>
    <x:col min="29" max="29" width="14" hidden="0" customWidth="1"/>
    <x:col min="30" max="30" width="16" hidden="0" customWidth="1"/>
    <x:col min="31" max="31" width="42" hidden="0" customWidth="1"/>
  </x:cols>
  <x:sheetData>
    <x:row r="1">
      <x:c r="A1" s="16" t="str">
        <x:v>Date</x:v>
      </x:c>
      <x:c r="B1" s="16" t="str">
        <x:v>Record Type</x:v>
      </x:c>
      <x:c r="C1" s="16" t="str">
        <x:v>Country / Region</x:v>
      </x:c>
      <x:c r="D1" s="16" t="str">
        <x:v>Sector</x:v>
      </x:c>
      <x:c r="E1" s="16" t="str">
        <x:v>Sector Family</x:v>
      </x:c>
      <x:c r="F1" s="16" t="str">
        <x:v>Affected Body</x:v>
      </x:c>
      <x:c r="G1" s="16" t="str">
        <x:v>What Happened</x:v>
      </x:c>
      <x:c r="H1" s="16" t="str">
        <x:v>System Layer</x:v>
      </x:c>
      <x:c r="I1" s="16" t="str">
        <x:v>Operational Effect</x:v>
      </x:c>
      <x:c r="J1" s="16" t="str">
        <x:v>Physical / Data Effect</x:v>
      </x:c>
      <x:c r="K1" s="16" t="str">
        <x:v>Claim Status</x:v>
      </x:c>
      <x:c r="L1" s="16" t="str">
        <x:v>Claimed Actor</x:v>
      </x:c>
      <x:c r="M1" s="16" t="str">
        <x:v>Technical Operator / Group</x:v>
      </x:c>
      <x:c r="N1" s="16" t="str">
        <x:v>State Relationship</x:v>
      </x:c>
      <x:c r="O1" s="16" t="str">
        <x:v>Public Government Attribution</x:v>
      </x:c>
      <x:c r="P1" s="16" t="str">
        <x:v>Incident Traffic Light</x:v>
      </x:c>
      <x:c r="Q1" s="16" t="str">
        <x:v>Effect Traffic Light</x:v>
      </x:c>
      <x:c r="R1" s="16" t="str">
        <x:v>Attribution Traffic Light</x:v>
      </x:c>
      <x:c r="S1" s="16" t="str">
        <x:v>Relationship Confidence</x:v>
      </x:c>
      <x:c r="T1" s="16" t="str">
        <x:v>Pattern Status</x:v>
      </x:c>
      <x:c r="U1" s="16" t="str">
        <x:v>Iran-War Relevance</x:v>
      </x:c>
      <x:c r="V1" s="16" t="str">
        <x:v>Iran Attribution</x:v>
      </x:c>
      <x:c r="W1" s="16" t="str">
        <x:v>Iran Attribution Class</x:v>
      </x:c>
      <x:c r="X1" s="16" t="str">
        <x:v>Rival Explanations</x:v>
      </x:c>
      <x:c r="Y1" s="16" t="str">
        <x:v>Severity / Significance</x:v>
      </x:c>
      <x:c r="Z1" s="16" t="str">
        <x:v>Negative Findings</x:v>
      </x:c>
      <x:c r="AA1" s="16" t="str">
        <x:v>Sources</x:v>
      </x:c>
      <x:c r="AB1" s="16" t="str">
        <x:v>Source Tier</x:v>
      </x:c>
      <x:c r="AC1" s="16" t="str">
        <x:v>Last Reviewed</x:v>
      </x:c>
      <x:c r="AD1" s="16" t="str">
        <x:v>Correction Status</x:v>
      </x:c>
      <x:c r="AE1" s="16" t="str">
        <x:v>Attribution History</x:v>
      </x:c>
    </x:row>
    <x:row r="2">
      <x:c r="A2" s="17" t="n">
        <x:v>46081</x:v>
      </x:c>
      <x:c r="B2" s="18" t="str">
        <x:v>Context baseline</x:v>
      </x:c>
      <x:c r="C2" s="18" t="str">
        <x:v>United States / Israel / Iran</x:v>
      </x:c>
      <x:c r="D2" s="18" t="str">
        <x:v>War context</x:v>
      </x:c>
      <x:c r="E2" s="18" t="str">
        <x:v>Cross-sector / other</x:v>
      </x:c>
      <x:c r="F2" s="18" t="str">
        <x:v>—</x:v>
      </x:c>
      <x:c r="G2" s="18" t="str">
        <x:v>War baseline used by this pack: start of the US–Israeli military campaign against Iran; comparison point for subsequent cyber activity.</x:v>
      </x:c>
      <x:c r="H2" s="18" t="str">
        <x:v>N/A</x:v>
      </x:c>
      <x:c r="I2" s="18" t="str">
        <x:v>N/A</x:v>
      </x:c>
      <x:c r="J2" s="18" t="str">
        <x:v>N/A</x:v>
      </x:c>
      <x:c r="K2" s="18" t="str">
        <x:v>N/A</x:v>
      </x:c>
      <x:c r="L2" s="18" t="str">
        <x:v>N/A</x:v>
      </x:c>
      <x:c r="M2" s="18" t="str">
        <x:v>N/A</x:v>
      </x:c>
      <x:c r="N2" s="18" t="str">
        <x:v>N/A</x:v>
      </x:c>
      <x:c r="O2" s="18" t="str">
        <x:v>N/A</x:v>
      </x:c>
      <x:c r="P2" s="18" t="str">
        <x:v>N/A</x:v>
      </x:c>
      <x:c r="Q2" s="18" t="str">
        <x:v>N/A</x:v>
      </x:c>
      <x:c r="R2" s="18" t="str">
        <x:v>N/A</x:v>
      </x:c>
      <x:c r="S2" s="18" t="str">
        <x:v>N/A</x:v>
      </x:c>
      <x:c r="T2" s="18" t="str">
        <x:v>N/A</x:v>
      </x:c>
      <x:c r="U2" s="18" t="str">
        <x:v>Direct baseline</x:v>
      </x:c>
      <x:c r="V2" s="18" t="str">
        <x:v>N/A</x:v>
      </x:c>
      <x:c r="W2" s="18" t="str">
        <x:v>N/A</x:v>
      </x:c>
      <x:c r="X2" s="18" t="str">
        <x:v>N/A</x:v>
      </x:c>
      <x:c r="Y2" s="18" t="str">
        <x:v>Context only</x:v>
      </x:c>
      <x:c r="Z2" s="18" t="str">
        <x:v>N/A</x:v>
      </x:c>
      <x:c r="AA2" s="18" t="str"/>
      <x:c r="AB2" s="18" t="str">
        <x:v>Context row</x:v>
      </x:c>
      <x:c r="AC2" s="17" t="n">
        <x:v>46243</x:v>
      </x:c>
      <x:c r="AD2" s="18" t="str">
        <x:v>Current</x:v>
      </x:c>
      <x:c r="AE2" s="18" t="str">
        <x:v>N/A</x:v>
      </x:c>
    </x:row>
    <x:row r="3">
      <x:c r="A3" s="17" t="n">
        <x:v>46083</x:v>
      </x:c>
      <x:c r="B3" s="18" t="str">
        <x:v>Threat assessment</x:v>
      </x:c>
      <x:c r="C3" s="18" t="str">
        <x:v>United Kingdom / Cyprus &amp; SBAs</x:v>
      </x:c>
      <x:c r="D3" s="18" t="str">
        <x:v>Cross-sector critical infrastructure</x:v>
      </x:c>
      <x:c r="E3" s="18" t="str">
        <x:v>Cross-sector / other</x:v>
      </x:c>
      <x:c r="F3" s="18" t="str">
        <x:v>UK organisations / critical infrastructure</x:v>
      </x:c>
      <x:c r="G3" s="18" t="str">
        <x:v>NCSC advised organisations to review cyber posture after Middle East escalation; it assessed no significant immediate change in the direct Iranian cyber threat to the UK but heightened indirect risk for organisations with Middle East exposure and possible collateral activity by Iran-linked hacktivists.</x:v>
      </x:c>
      <x:c r="H3" s="18" t="str">
        <x:v>Threat posture / preparedness</x:v>
      </x:c>
      <x:c r="I3" s="18" t="str">
        <x:v>No specific infrastructure disruption recorded in this row.</x:v>
      </x:c>
      <x:c r="J3" s="18" t="str">
        <x:v>None reported; advisory rather than incident.</x:v>
      </x:c>
      <x:c r="K3" s="18" t="str">
        <x:v>Official assessment</x:v>
      </x:c>
      <x:c r="L3" s="18" t="str">
        <x:v>N/A</x:v>
      </x:c>
      <x:c r="M3" s="18" t="str">
        <x:v>N/A</x:v>
      </x:c>
      <x:c r="N3" s="18" t="str">
        <x:v>Iran-linked hacktivist risk discussed; no incident attribution.</x:v>
      </x:c>
      <x:c r="O3" s="18" t="str">
        <x:v>No incident attribution.</x:v>
      </x:c>
      <x:c r="P3" s="18" t="str">
        <x:v>🟢 Established</x:v>
      </x:c>
      <x:c r="Q3" s="18" t="str">
        <x:v>N/A</x:v>
      </x:c>
      <x:c r="R3" s="18" t="str">
        <x:v>⚪ Open</x:v>
      </x:c>
      <x:c r="S3" s="18" t="str">
        <x:v>N/A</x:v>
      </x:c>
      <x:c r="T3" s="18" t="str">
        <x:v>⚪ Context / isolated</x:v>
      </x:c>
      <x:c r="U3" s="18" t="str">
        <x:v>High — early-war UK threat posture marker</x:v>
      </x:c>
      <x:c r="V3" s="18" t="str">
        <x:v>No incident attribution</x:v>
      </x:c>
      <x:c r="W3" s="18" t="str">
        <x:v>Open</x:v>
      </x:c>
      <x:c r="X3" s="18" t="str">
        <x:v>N/A</x:v>
      </x:c>
      <x:c r="Y3" s="18" t="str">
        <x:v>Preparedness marker</x:v>
      </x:c>
      <x:c r="Z3" s="18" t="str">
        <x:v>NCSC said no significant immediate change in the direct Iranian threat to the UK.</x:v>
      </x:c>
      <x:c r="AA3" s="18" t="str">
        <x:v>https://www.ncsc.gov.uk/news/ncsc-advises-uk-organisations-take-action-following-conflict-in-middle-east</x:v>
      </x:c>
      <x:c r="AB3" s="18" t="str">
        <x:v>Tier 1 — official</x:v>
      </x:c>
      <x:c r="AC3" s="17" t="n">
        <x:v>46243</x:v>
      </x:c>
      <x:c r="AD3" s="18" t="str">
        <x:v>Current</x:v>
      </x:c>
      <x:c r="AE3" s="18" t="str">
        <x:v>No incident attribution.</x:v>
      </x:c>
    </x:row>
    <x:row r="4">
      <x:c r="A4" s="17" t="n">
        <x:v>46091</x:v>
      </x:c>
      <x:c r="B4" s="18" t="str">
        <x:v>Campaign reporting</x:v>
      </x:c>
      <x:c r="C4" s="18" t="str">
        <x:v>Israel</x:v>
      </x:c>
      <x:c r="D4" s="18" t="str">
        <x:v>Healthcare; government; defence; telecommunications</x:v>
      </x:c>
      <x:c r="E4" s="18" t="str">
        <x:v>Healthcare / medical supply</x:v>
      </x:c>
      <x:c r="F4" s="18" t="str">
        <x:v>Multiple Israeli organisations</x:v>
      </x:c>
      <x:c r="G4" s="18" t="str">
        <x:v>Open-source reporting described Iran-linked actors using criminal tooling against Israeli hospitals and organisations in government, defence and telecommunications.</x:v>
      </x:c>
      <x:c r="H4" s="18" t="str">
        <x:v>Mixed enterprise IT / data systems</x:v>
      </x:c>
      <x:c r="I4" s="18" t="str">
        <x:v>Multi-sector malicious activity reported; individual operational effects vary and require incident-level sourcing.</x:v>
      </x:c>
      <x:c r="J4" s="18" t="str">
        <x:v>Not uniformly specified in the source summary.</x:v>
      </x:c>
      <x:c r="K4" s="18" t="str">
        <x:v>Reported campaign</x:v>
      </x:c>
      <x:c r="L4" s="18" t="str">
        <x:v>Multiple / not normalised</x:v>
      </x:c>
      <x:c r="M4" s="18" t="str">
        <x:v>Iran-linked actors (campaign-level reporting)</x:v>
      </x:c>
      <x:c r="N4" s="18" t="str">
        <x:v>Iran-linked; individual state direction unresolved.</x:v>
      </x:c>
      <x:c r="O4" s="18" t="str">
        <x:v>Not established for each incident in this row.</x:v>
      </x:c>
      <x:c r="P4" s="18" t="str">
        <x:v>🟡 Probable</x:v>
      </x:c>
      <x:c r="Q4" s="18" t="str">
        <x:v>🟠 Developing</x:v>
      </x:c>
      <x:c r="R4" s="18" t="str">
        <x:v>🟡 Probable</x:v>
      </x:c>
      <x:c r="S4" s="18" t="str">
        <x:v>🟡 Probable at campaign level</x:v>
      </x:c>
      <x:c r="T4" s="18" t="str">
        <x:v>🟡 Possible recurrence</x:v>
      </x:c>
      <x:c r="U4" s="18" t="str">
        <x:v>High — Israel is a direct belligerent</x:v>
      </x:c>
      <x:c r="V4" s="18" t="str">
        <x:v>Campaign-level Iran-linked reporting; incident-level attribution varies</x:v>
      </x:c>
      <x:c r="W4" s="18" t="str">
        <x:v>Probable</x:v>
      </x:c>
      <x:c r="X4" s="18" t="str">
        <x:v>Some activity may be criminal, proxy or opportunistic rather than uniformly state-directed.</x:v>
      </x:c>
      <x:c r="Y4" s="18" t="str">
        <x:v>Cross-sector targeting</x:v>
      </x:c>
      <x:c r="Z4" s="18" t="str">
        <x:v>No single common state-direction finding established for all incidents.</x:v>
      </x:c>
      <x:c r="AA4" s="18" t="str">
        <x:v>https://cert.europa.eu/publications/threat-intelligence/cb26-04</x:v>
      </x:c>
      <x:c r="AB4" s="18" t="str">
        <x:v>Tier 1/2 — CERT-EU synthesis</x:v>
      </x:c>
      <x:c r="AC4" s="17" t="n">
        <x:v>46243</x:v>
      </x:c>
      <x:c r="AD4" s="18" t="str">
        <x:v>Current</x:v>
      </x:c>
      <x:c r="AE4" s="18" t="str">
        <x:v>Retains campaign-level wording; do not inherit attribution across every incident.</x:v>
      </x:c>
    </x:row>
    <x:row r="5">
      <x:c r="A5" s="17" t="n">
        <x:v>46091</x:v>
      </x:c>
      <x:c r="B5" s="18" t="str">
        <x:v>Cyber incident</x:v>
      </x:c>
      <x:c r="C5" s="18" t="str">
        <x:v>Albania</x:v>
      </x:c>
      <x:c r="D5" s="18" t="str">
        <x:v>Government administration / parliamentary infrastructure</x:v>
      </x:c>
      <x:c r="E5" s="18" t="str">
        <x:v>Government / administration</x:v>
      </x:c>
      <x:c r="F5" s="18" t="str">
        <x:v>Parliament of Albania</x:v>
      </x:c>
      <x:c r="G5" s="18" t="str">
        <x:v>Parliament reported an attempted data-wiping and systems-compromise attack; internal email and staff computer access were disrupted. Homeland Justice claimed responsibility.</x:v>
      </x:c>
      <x:c r="H5" s="18" t="str">
        <x:v>Enterprise IT / administration</x:v>
      </x:c>
      <x:c r="I5" s="18" t="str">
        <x:v>Internal email and staff computer access disrupted.</x:v>
      </x:c>
      <x:c r="J5" s="18" t="str">
        <x:v>Attempted data wiping / systems compromise reported.</x:v>
      </x:c>
      <x:c r="K5" s="18" t="str">
        <x:v>📣 Actor-claimed</x:v>
      </x:c>
      <x:c r="L5" s="18" t="str">
        <x:v>Homeland Justice</x:v>
      </x:c>
      <x:c r="M5" s="18" t="str">
        <x:v>Homeland Justice claim; operator identity not independently proven in source summary</x:v>
      </x:c>
      <x:c r="N5" s="18" t="str">
        <x:v>Established historical Iran nexus; current incident state direction unresolved.</x:v>
      </x:c>
      <x:c r="O5" s="18" t="str">
        <x:v>No definitive current state-direction finding recorded here.</x:v>
      </x:c>
      <x:c r="P5" s="18" t="str">
        <x:v>🟢 Established</x:v>
      </x:c>
      <x:c r="Q5" s="18" t="str">
        <x:v>🟢 Established</x:v>
      </x:c>
      <x:c r="R5" s="18" t="str">
        <x:v>🟡 Probable</x:v>
      </x:c>
      <x:c r="S5" s="18" t="str">
        <x:v>🟡 Probable historical actor continuity; current direction open</x:v>
      </x:c>
      <x:c r="T5" s="18" t="str">
        <x:v>🟡 Possible recurrence</x:v>
      </x:c>
      <x:c r="U5" s="18" t="str">
        <x:v>Moderate / high — established history of Iran-Albania cyber conflict</x:v>
      </x:c>
      <x:c r="V5" s="18" t="str">
        <x:v>Iran-linked actor claim with historical nexus; current state direction not independently proven</x:v>
      </x:c>
      <x:c r="W5" s="18" t="str">
        <x:v>Probable</x:v>
      </x:c>
      <x:c r="X5" s="18" t="str">
        <x:v>Alias reuse, partial independence, or operation not directly tasked by the state.</x:v>
      </x:c>
      <x:c r="Y5" s="18" t="str">
        <x:v>Government administrative disruption</x:v>
      </x:c>
      <x:c r="Z5" s="18" t="str">
        <x:v>State direction not independently established.</x:v>
      </x:c>
      <x:c r="AA5" s="18" t="str">
        <x:v>https://cert.europa.eu/publications/threat-intelligence/cb26-04</x:v>
      </x:c>
      <x:c r="AB5" s="18" t="str">
        <x:v>Tier 1/2 — CERT-EU synthesis</x:v>
      </x:c>
      <x:c r="AC5" s="17" t="n">
        <x:v>46243</x:v>
      </x:c>
      <x:c r="AD5" s="18" t="str">
        <x:v>Current</x:v>
      </x:c>
      <x:c r="AE5" s="18" t="str">
        <x:v>Actor claim + historical nexus retained separately from state direction.</x:v>
      </x:c>
    </x:row>
    <x:row r="6">
      <x:c r="A6" s="17" t="n">
        <x:v>46092</x:v>
      </x:c>
      <x:c r="B6" s="18" t="str">
        <x:v>Cyber incident</x:v>
      </x:c>
      <x:c r="C6" s="18" t="str">
        <x:v>United States / Ireland</x:v>
      </x:c>
      <x:c r="D6" s="18" t="str">
        <x:v>Healthcare / medical-device manufacturing and supply</x:v>
      </x:c>
      <x:c r="E6" s="18" t="str">
        <x:v>Healthcare / medical supply</x:v>
      </x:c>
      <x:c r="F6" s="18" t="str">
        <x:v>Stryker</x:v>
      </x:c>
      <x:c r="G6" s="18" t="str">
        <x:v>Cyberattack disrupted Microsoft-based systems, order processing, manufacturing and shipments. Handala claimed responsibility and framed the attack as retaliation for US–Israeli strikes.</x:v>
      </x:c>
      <x:c r="H6" s="18" t="str">
        <x:v>Enterprise IT / manufacturing and supply systems</x:v>
      </x:c>
      <x:c r="I6" s="18" t="str">
        <x:v>Ordering, manufacturing and shipments disrupted; restoration took time.</x:v>
      </x:c>
      <x:c r="J6" s="18" t="str">
        <x:v>Destructive effects on remote Windows-based devices were reported; no uniform patient-safety effect established.</x:v>
      </x:c>
      <x:c r="K6" s="18" t="str">
        <x:v>📣 Actor-claimed</x:v>
      </x:c>
      <x:c r="L6" s="18" t="str">
        <x:v>Handala</x:v>
      </x:c>
      <x:c r="M6" s="18" t="str">
        <x:v>Handala / Iran-linked group</x:v>
      </x:c>
      <x:c r="N6" s="18" t="str">
        <x:v>Reuters described the group as Iran-linked; later US law-enforcement action alleged probable cause regarding the destructive attack. Exact state direction remains distinct from actor linkage.</x:v>
      </x:c>
      <x:c r="O6" s="18" t="str">
        <x:v>US authorities later seized domains associated with Handala; this strengthens actor linkage but is not the same as a public finding of Iranian state direction.</x:v>
      </x:c>
      <x:c r="P6" s="18" t="str">
        <x:v>🟢 Established</x:v>
      </x:c>
      <x:c r="Q6" s="18" t="str">
        <x:v>🟢 Established</x:v>
      </x:c>
      <x:c r="R6" s="18" t="str">
        <x:v>🟡 Probable</x:v>
      </x:c>
      <x:c r="S6" s="18" t="str">
        <x:v>🟡 Probable Handala linkage</x:v>
      </x:c>
      <x:c r="T6" s="18" t="str">
        <x:v>🟡 Possible recurrence</x:v>
      </x:c>
      <x:c r="U6" s="18" t="str">
        <x:v>High — US direct belligerent; medical supply chain</x:v>
      </x:c>
      <x:c r="V6" s="18" t="str">
        <x:v>Iran-linked actor linkage strengthened; state direction of this incident not separately established</x:v>
      </x:c>
      <x:c r="W6" s="18" t="str">
        <x:v>Probable</x:v>
      </x:c>
      <x:c r="X6" s="18" t="str">
        <x:v>Actor may have varying degrees of state affiliation or autonomy; claim alone does not establish direction.</x:v>
      </x:c>
      <x:c r="Y6" s="18" t="str">
        <x:v>Material healthcare supply-chain disruption</x:v>
      </x:c>
      <x:c r="Z6" s="18" t="str">
        <x:v>Company said no indication of ransomware or malware at initial reporting; no patient-harm finding recorded.</x:v>
      </x:c>
      <x:c r="AA6" s="18" t="str">
        <x:v>https://www.reuters.com/technology/stryker-shares-fall-after-report-suspected-iran-linked-cyberattack-2026-03-11/ | https://www.reuters.com/technology/iran-linked-hackers-restore-website-after-us-seizes-domains-2026-03-20/</x:v>
      </x:c>
      <x:c r="AB6" s="18" t="str">
        <x:v>Tier 3 reporting + law-enforcement action described</x:v>
      </x:c>
      <x:c r="AC6" s="17" t="n">
        <x:v>46243</x:v>
      </x:c>
      <x:c r="AD6" s="18" t="str">
        <x:v>Updated</x:v>
      </x:c>
      <x:c r="AE6" s="18" t="str">
        <x:v>2026-03-11 actor-claimed / Iran-linked reporting → 2026-03-20 US domain seizure and probable-cause allegation strengthened actor linkage.</x:v>
      </x:c>
    </x:row>
    <x:row r="7">
      <x:c r="A7" s="17" t="n">
        <x:v>46093</x:v>
      </x:c>
      <x:c r="B7" s="18" t="str">
        <x:v>Cyber incident</x:v>
      </x:c>
      <x:c r="C7" s="18" t="str">
        <x:v>Poland</x:v>
      </x:c>
      <x:c r="D7" s="18" t="str">
        <x:v>Nuclear research / government scientific infrastructure</x:v>
      </x:c>
      <x:c r="E7" s="18" t="str">
        <x:v>Government / administration</x:v>
      </x:c>
      <x:c r="F7" s="18" t="str">
        <x:v>National Centre for Nuclear Research</x:v>
      </x:c>
      <x:c r="G7" s="18" t="str">
        <x:v>Poland reported an unsuccessful cyberattack. Early indicators reportedly pointed toward Iranian origins, while officials explicitly warned those indicators could represent misdirection.</x:v>
      </x:c>
      <x:c r="H7" s="18" t="str">
        <x:v>Scientific / government IT</x:v>
      </x:c>
      <x:c r="I7" s="18" t="str">
        <x:v>Attempt unsuccessful; system integrity reportedly remained intact.</x:v>
      </x:c>
      <x:c r="J7" s="18" t="str">
        <x:v>No compromise of system integrity reported.</x:v>
      </x:c>
      <x:c r="K7" s="18" t="str">
        <x:v>Officially reported incident</x:v>
      </x:c>
      <x:c r="L7" s="18" t="str">
        <x:v>N/A</x:v>
      </x:c>
      <x:c r="M7" s="18" t="str">
        <x:v>Unknown</x:v>
      </x:c>
      <x:c r="N7" s="18" t="str">
        <x:v>Possible Iranian origin indicators; false-flag possibility explicitly preserved.</x:v>
      </x:c>
      <x:c r="O7" s="18" t="str">
        <x:v>No definitive attribution.</x:v>
      </x:c>
      <x:c r="P7" s="18" t="str">
        <x:v>🟢 Established</x:v>
      </x:c>
      <x:c r="Q7" s="18" t="str">
        <x:v>🟢 Established</x:v>
      </x:c>
      <x:c r="R7" s="18" t="str">
        <x:v>🟠 Suspected</x:v>
      </x:c>
      <x:c r="S7" s="18" t="str">
        <x:v>⚪ Open</x:v>
      </x:c>
      <x:c r="T7" s="18" t="str">
        <x:v>⚪ Isolated</x:v>
      </x:c>
      <x:c r="U7" s="18" t="str">
        <x:v>Moderate — nuclear/scientific state infrastructure in a European partner state</x:v>
      </x:c>
      <x:c r="V7" s="18" t="str">
        <x:v>Suspected; explicitly uncertain</x:v>
      </x:c>
      <x:c r="W7" s="18" t="str">
        <x:v>Suspected</x:v>
      </x:c>
      <x:c r="X7" s="18" t="str">
        <x:v>False flag / deliberate misdirection; unrelated hostile actor; opportunistic intrusion.</x:v>
      </x:c>
      <x:c r="Y7" s="18" t="str">
        <x:v>Attempted compromise of sensitive scientific infrastructure</x:v>
      </x:c>
      <x:c r="Z7" s="18" t="str">
        <x:v>System integrity reportedly not compromised.</x:v>
      </x:c>
      <x:c r="AA7" s="18" t="str">
        <x:v>https://cert.europa.eu/publications/threat-intelligence/cb26-04</x:v>
      </x:c>
      <x:c r="AB7" s="18" t="str">
        <x:v>Tier 1/2 — CERT-EU synthesis</x:v>
      </x:c>
      <x:c r="AC7" s="17" t="n">
        <x:v>46243</x:v>
      </x:c>
      <x:c r="AD7" s="18" t="str">
        <x:v>Current</x:v>
      </x:c>
      <x:c r="AE7" s="18" t="str">
        <x:v>Suspected Iran link retained with explicit misdirection warning.</x:v>
      </x:c>
    </x:row>
    <x:row r="8">
      <x:c r="A8" s="17" t="n">
        <x:v>46094</x:v>
      </x:c>
      <x:c r="B8" s="18" t="str">
        <x:v>Cyber incident</x:v>
      </x:c>
      <x:c r="C8" s="18" t="str">
        <x:v>Sweden</x:v>
      </x:c>
      <x:c r="D8" s="18" t="str">
        <x:v>Government administration / e-government</x:v>
      </x:c>
      <x:c r="E8" s="18" t="str">
        <x:v>Government / administration</x:v>
      </x:c>
      <x:c r="F8" s="18" t="str">
        <x:v>Swedish e-government platform via CGI Sweden</x:v>
      </x:c>
      <x:c r="G8" s="18" t="str">
        <x:v>Researchers reported alleged theft of data associated with a Swedish e-government platform through contractor CGI Sweden; source code was reportedly released and citizen databases offered for sale.</x:v>
      </x:c>
      <x:c r="H8" s="18" t="str">
        <x:v>Contracted digital-service / data infrastructure</x:v>
      </x:c>
      <x:c r="I8" s="18" t="str">
        <x:v>Potential compromise of e-government data custody.</x:v>
      </x:c>
      <x:c r="J8" s="18" t="str">
        <x:v>Alleged source-code and citizen-data theft / release.</x:v>
      </x:c>
      <x:c r="K8" s="18" t="str">
        <x:v>Reported / alleged</x:v>
      </x:c>
      <x:c r="L8" s="18" t="str">
        <x:v>Unknown / cybercrime claim</x:v>
      </x:c>
      <x:c r="M8" s="18" t="str">
        <x:v>Unknown</x:v>
      </x:c>
      <x:c r="N8" s="18" t="str">
        <x:v>None publicly established.</x:v>
      </x:c>
      <x:c r="O8" s="18" t="str">
        <x:v>None recorded.</x:v>
      </x:c>
      <x:c r="P8" s="18" t="str">
        <x:v>🟠 Suspected / developing</x:v>
      </x:c>
      <x:c r="Q8" s="18" t="str">
        <x:v>🟠 Suspected / developing</x:v>
      </x:c>
      <x:c r="R8" s="18" t="str">
        <x:v>⚪ Open</x:v>
      </x:c>
      <x:c r="S8" s="18" t="str">
        <x:v>⚪ Open</x:v>
      </x:c>
      <x:c r="T8" s="18" t="str">
        <x:v>⚪ Isolated</x:v>
      </x:c>
      <x:c r="U8" s="18" t="str">
        <x:v>Low / contextual — essential state digital service during war window</x:v>
      </x:c>
      <x:c r="V8" s="18" t="str">
        <x:v>No public Iran attribution</x:v>
      </x:c>
      <x:c r="W8" s="18" t="str">
        <x:v>Open</x:v>
      </x:c>
      <x:c r="X8" s="18" t="str">
        <x:v>Ordinary cybercrime; unrelated state or non-state actor.</x:v>
      </x:c>
      <x:c r="Y8" s="18" t="str">
        <x:v>Potential loss of state-service data and source code</x:v>
      </x:c>
      <x:c r="Z8" s="18" t="str">
        <x:v>No Iran linkage established.</x:v>
      </x:c>
      <x:c r="AA8" s="18" t="str">
        <x:v>https://cert.europa.eu/publications/threat-intelligence/cb26-04</x:v>
      </x:c>
      <x:c r="AB8" s="18" t="str">
        <x:v>Tier 1/2 — CERT-EU synthesis</x:v>
      </x:c>
      <x:c r="AC8" s="17" t="n">
        <x:v>46243</x:v>
      </x:c>
      <x:c r="AD8" s="18" t="str">
        <x:v>Current</x:v>
      </x:c>
      <x:c r="AE8" s="18" t="str">
        <x:v>Unattributed.</x:v>
      </x:c>
    </x:row>
    <x:row r="9">
      <x:c r="A9" s="17" t="n">
        <x:v>46100</x:v>
      </x:c>
      <x:c r="B9" s="18" t="str">
        <x:v>Cyber incident</x:v>
      </x:c>
      <x:c r="C9" s="18" t="str">
        <x:v>Netherlands</x:v>
      </x:c>
      <x:c r="D9" s="18" t="str">
        <x:v>Government administration / finance</x:v>
      </x:c>
      <x:c r="E9" s="18" t="str">
        <x:v>Financial services</x:v>
      </x:c>
      <x:c r="F9" s="18" t="str">
        <x:v>Dutch Ministry of Finance</x:v>
      </x:c>
      <x:c r="G9" s="18" t="str">
        <x:v>The ministry detected a breach after third-party notification; some employee systems were affected while tax, customs and benefits services reportedly remained operational.</x:v>
      </x:c>
      <x:c r="H9" s="18" t="str">
        <x:v>Government enterprise IT</x:v>
      </x:c>
      <x:c r="I9" s="18" t="str">
        <x:v>Internal systems affected without reported interruption to major citizen-facing services.</x:v>
      </x:c>
      <x:c r="J9" s="18" t="str">
        <x:v>Data impact not fully specified in source summary.</x:v>
      </x:c>
      <x:c r="K9" s="18" t="str">
        <x:v>Officially reported incident</x:v>
      </x:c>
      <x:c r="L9" s="18" t="str">
        <x:v>N/A</x:v>
      </x:c>
      <x:c r="M9" s="18" t="str">
        <x:v>Unknown</x:v>
      </x:c>
      <x:c r="N9" s="18" t="str">
        <x:v>None publicly established.</x:v>
      </x:c>
      <x:c r="O9" s="18" t="str">
        <x:v>None recorded.</x:v>
      </x:c>
      <x:c r="P9" s="18" t="str">
        <x:v>🟢 Established</x:v>
      </x:c>
      <x:c r="Q9" s="18" t="str">
        <x:v>🟢 Established</x:v>
      </x:c>
      <x:c r="R9" s="18" t="str">
        <x:v>⚪ Open</x:v>
      </x:c>
      <x:c r="S9" s="18" t="str">
        <x:v>⚪ Open</x:v>
      </x:c>
      <x:c r="T9" s="18" t="str">
        <x:v>⚪ Isolated</x:v>
      </x:c>
      <x:c r="U9" s="18" t="str">
        <x:v>Low / contextual</x:v>
      </x:c>
      <x:c r="V9" s="18" t="str">
        <x:v>No public Iran attribution</x:v>
      </x:c>
      <x:c r="W9" s="18" t="str">
        <x:v>Open</x:v>
      </x:c>
      <x:c r="X9" s="18" t="str">
        <x:v>Ordinary cybercrime; unrelated hostile-state activity; opportunistic intrusion.</x:v>
      </x:c>
      <x:c r="Y9" s="18" t="str">
        <x:v>Government administrative compromise; major public services remained available</x:v>
      </x:c>
      <x:c r="Z9" s="18" t="str">
        <x:v>Tax, customs and benefits services reportedly remained operational.</x:v>
      </x:c>
      <x:c r="AA9" s="18" t="str">
        <x:v>https://cert.europa.eu/publications/threat-intelligence/cb26-04</x:v>
      </x:c>
      <x:c r="AB9" s="18" t="str">
        <x:v>Tier 1/2 — CERT-EU synthesis</x:v>
      </x:c>
      <x:c r="AC9" s="17" t="n">
        <x:v>46243</x:v>
      </x:c>
      <x:c r="AD9" s="18" t="str">
        <x:v>Current</x:v>
      </x:c>
      <x:c r="AE9" s="18" t="str">
        <x:v>Unattributed.</x:v>
      </x:c>
    </x:row>
    <x:row r="10">
      <x:c r="A10" s="17" t="n">
        <x:v>46106</x:v>
      </x:c>
      <x:c r="B10" s="18" t="str">
        <x:v>Cyber incident</x:v>
      </x:c>
      <x:c r="C10" s="18" t="str">
        <x:v>Netherlands</x:v>
      </x:c>
      <x:c r="D10" s="18" t="str">
        <x:v>Policing / justice infrastructure</x:v>
      </x:c>
      <x:c r="E10" s="18" t="str">
        <x:v>Policing / justice</x:v>
      </x:c>
      <x:c r="F10" s="18" t="str">
        <x:v>Dutch National Police</x:v>
      </x:c>
      <x:c r="G10" s="18" t="str">
        <x:v>Police reported a successful phishing breach. Access was blocked; no citizen or investigative data was reported exposed.</x:v>
      </x:c>
      <x:c r="H10" s="18" t="str">
        <x:v>Police enterprise IT / account access</x:v>
      </x:c>
      <x:c r="I10" s="18" t="str">
        <x:v>Unauthorised access occurred and was blocked.</x:v>
      </x:c>
      <x:c r="J10" s="18" t="str">
        <x:v>No citizen or investigative data reported exposed.</x:v>
      </x:c>
      <x:c r="K10" s="18" t="str">
        <x:v>Officially reported incident</x:v>
      </x:c>
      <x:c r="L10" s="18" t="str">
        <x:v>N/A</x:v>
      </x:c>
      <x:c r="M10" s="18" t="str">
        <x:v>Unknown</x:v>
      </x:c>
      <x:c r="N10" s="18" t="str">
        <x:v>None publicly established.</x:v>
      </x:c>
      <x:c r="O10" s="18" t="str">
        <x:v>None recorded.</x:v>
      </x:c>
      <x:c r="P10" s="18" t="str">
        <x:v>🟢 Established</x:v>
      </x:c>
      <x:c r="Q10" s="18" t="str">
        <x:v>🟢 Established</x:v>
      </x:c>
      <x:c r="R10" s="18" t="str">
        <x:v>⚪ Open</x:v>
      </x:c>
      <x:c r="S10" s="18" t="str">
        <x:v>⚪ Open</x:v>
      </x:c>
      <x:c r="T10" s="18" t="str">
        <x:v>⚪ Isolated</x:v>
      </x:c>
      <x:c r="U10" s="18" t="str">
        <x:v>Low / contextual</x:v>
      </x:c>
      <x:c r="V10" s="18" t="str">
        <x:v>No public Iran attribution</x:v>
      </x:c>
      <x:c r="W10" s="18" t="str">
        <x:v>Open</x:v>
      </x:c>
      <x:c r="X10" s="18" t="str">
        <x:v>Ordinary phishing / cybercrime; unrelated hostile-state activity.</x:v>
      </x:c>
      <x:c r="Y10" s="18" t="str">
        <x:v>Police infrastructure account compromise</x:v>
      </x:c>
      <x:c r="Z10" s="18" t="str">
        <x:v>No citizen or investigative data reported exposed.</x:v>
      </x:c>
      <x:c r="AA10" s="18" t="str">
        <x:v>https://cert.europa.eu/publications/threat-intelligence/cb26-04</x:v>
      </x:c>
      <x:c r="AB10" s="18" t="str">
        <x:v>Tier 1/2 — CERT-EU synthesis</x:v>
      </x:c>
      <x:c r="AC10" s="17" t="n">
        <x:v>46243</x:v>
      </x:c>
      <x:c r="AD10" s="18" t="str">
        <x:v>Current</x:v>
      </x:c>
      <x:c r="AE10" s="18" t="str">
        <x:v>Unattributed.</x:v>
      </x:c>
    </x:row>
    <x:row r="11">
      <x:c r="A11" s="17" t="n">
        <x:v>46168</x:v>
      </x:c>
      <x:c r="B11" s="18" t="str">
        <x:v>Attribution / incident update</x:v>
      </x:c>
      <x:c r="C11" s="18" t="str">
        <x:v>United States</x:v>
      </x:c>
      <x:c r="D11" s="18" t="str">
        <x:v>Transport</x:v>
      </x:c>
      <x:c r="E11" s="18" t="str">
        <x:v>Transport</x:v>
      </x:c>
      <x:c r="F11" s="18" t="str">
        <x:v>Los Angeles County Metropolitan Transportation Authority</x:v>
      </x:c>
      <x:c r="G11" s="18" t="str">
        <x:v>Security researchers attributed a March breach of Los Angeles Metro systems to Iranian-backed / MOIS-linked hackers; recovery reportedly took weeks.</x:v>
      </x:c>
      <x:c r="H11" s="18" t="str">
        <x:v>Public transport IT / administrative systems</x:v>
      </x:c>
      <x:c r="I11" s="18" t="str">
        <x:v>Extended recovery from compromise.</x:v>
      </x:c>
      <x:c r="J11" s="18" t="str">
        <x:v>Specific physical transport effects not established in cited report summary.</x:v>
      </x:c>
      <x:c r="K11" s="18" t="str">
        <x:v>Researcher attribution</x:v>
      </x:c>
      <x:c r="L11" s="18" t="str">
        <x:v>N/A</x:v>
      </x:c>
      <x:c r="M11" s="18" t="str">
        <x:v>Iran-backed / MOIS-linked actor per researchers</x:v>
      </x:c>
      <x:c r="N11" s="18" t="str">
        <x:v>Researcher-led Iran/MOIS linkage; formal US government attribution not established in cited report.</x:v>
      </x:c>
      <x:c r="O11" s="18" t="str">
        <x:v>Not established in cited report.</x:v>
      </x:c>
      <x:c r="P11" s="18" t="str">
        <x:v>🟢 Established</x:v>
      </x:c>
      <x:c r="Q11" s="18" t="str">
        <x:v>🟢 Established</x:v>
      </x:c>
      <x:c r="R11" s="18" t="str">
        <x:v>🟡 Probable</x:v>
      </x:c>
      <x:c r="S11" s="18" t="str">
        <x:v>🟡 Probable researcher linkage</x:v>
      </x:c>
      <x:c r="T11" s="18" t="str">
        <x:v>🟡 Possible recurrence</x:v>
      </x:c>
      <x:c r="U11" s="18" t="str">
        <x:v>High — transport infrastructure in direct belligerent state</x:v>
      </x:c>
      <x:c r="V11" s="18" t="str">
        <x:v>Researcher-led Iran/MOIS link; government attribution open</x:v>
      </x:c>
      <x:c r="W11" s="18" t="str">
        <x:v>Probable</x:v>
      </x:c>
      <x:c r="X11" s="18" t="str">
        <x:v>Research attribution may be revised; public technical basis may be incomplete.</x:v>
      </x:c>
      <x:c r="Y11" s="18" t="str">
        <x:v>Essential metropolitan transport recovery impact</x:v>
      </x:c>
      <x:c r="Z11" s="18" t="str">
        <x:v>No formal US government attribution in cited report.</x:v>
      </x:c>
      <x:c r="AA11" s="18" t="str">
        <x:v>https://techcrunch.com/2026/05/26/iranian-hackers-blamed-for-breach-of-los-angeles-transit-system-that-took-weeks-to-recover/</x:v>
      </x:c>
      <x:c r="AB11" s="18" t="str">
        <x:v>Tier 3 reporting on researcher attribution</x:v>
      </x:c>
      <x:c r="AC11" s="17" t="n">
        <x:v>46243</x:v>
      </x:c>
      <x:c r="AD11" s="18" t="str">
        <x:v>Current</x:v>
      </x:c>
      <x:c r="AE11" s="18" t="str">
        <x:v>March breach → May researcher attribution.</x:v>
      </x:c>
    </x:row>
    <x:row r="12">
      <x:c r="A12" s="17" t="n">
        <x:v>46190</x:v>
      </x:c>
      <x:c r="B12" s="18" t="str">
        <x:v>Threat-environment marker</x:v>
      </x:c>
      <x:c r="C12" s="18" t="str">
        <x:v>United Kingdom</x:v>
      </x:c>
      <x:c r="D12" s="18" t="str">
        <x:v>Aggregate critical infrastructure</x:v>
      </x:c>
      <x:c r="E12" s="18" t="str">
        <x:v>Cross-sector / other</x:v>
      </x:c>
      <x:c r="F12" s="18" t="str">
        <x:v>UK critical infrastructure and supporting ecosystem</x:v>
      </x:c>
      <x:c r="G12" s="18" t="str">
        <x:v>NCSC said it had managed more than 200 incidents affecting UK critical infrastructure and its supporting ecosystem in the year to May 2026; about three-quarters were believed linked to hostile states.</x:v>
      </x:c>
      <x:c r="H12" s="18" t="str">
        <x:v>Aggregate / cross-sector</x:v>
      </x:c>
      <x:c r="I12" s="18" t="str">
        <x:v>Aggregate incident load; not a single incident.</x:v>
      </x:c>
      <x:c r="J12" s="18" t="str">
        <x:v>Varies across underlying incidents.</x:v>
      </x:c>
      <x:c r="K12" s="18" t="str">
        <x:v>Official aggregate assessment</x:v>
      </x:c>
      <x:c r="L12" s="18" t="str">
        <x:v>N/A</x:v>
      </x:c>
      <x:c r="M12" s="18" t="str">
        <x:v>Multiple hostile-state actors</x:v>
      </x:c>
      <x:c r="N12" s="18" t="str">
        <x:v>Hostile-state aggregate; Iran share not identified.</x:v>
      </x:c>
      <x:c r="O12" s="18" t="str">
        <x:v>Not Iran-specific.</x:v>
      </x:c>
      <x:c r="P12" s="18" t="str">
        <x:v>🟢 Established</x:v>
      </x:c>
      <x:c r="Q12" s="18" t="str">
        <x:v>N/A</x:v>
      </x:c>
      <x:c r="R12" s="18" t="str">
        <x:v>🟢 Established for hostile-state aggregate; ⚪ Open for Iran share</x:v>
      </x:c>
      <x:c r="S12" s="18" t="str">
        <x:v>N/A</x:v>
      </x:c>
      <x:c r="T12" s="18" t="str">
        <x:v>🔴 Established hostile-state pressure</x:v>
      </x:c>
      <x:c r="U12" s="18" t="str">
        <x:v>Moderate — background operating environment</x:v>
      </x:c>
      <x:c r="V12" s="18" t="str">
        <x:v>Not Iran-specific</x:v>
      </x:c>
      <x:c r="W12" s="18" t="str">
        <x:v>Open</x:v>
      </x:c>
      <x:c r="X12" s="18" t="str">
        <x:v>No basis to infer Iran's share from the aggregate figure.</x:v>
      </x:c>
      <x:c r="Y12" s="18" t="str">
        <x:v>National critical-infrastructure threat environment</x:v>
      </x:c>
      <x:c r="Z12" s="18" t="str">
        <x:v>Public statement did not identify Iran's share.</x:v>
      </x:c>
      <x:c r="AA12" s="18" t="str">
        <x:v>https://www.ncsc.gov.uk/news/ncsc-ceo-hostile-states-linked-to-three-quarters-of-cyber-attacks</x:v>
      </x:c>
      <x:c r="AB12" s="18" t="str">
        <x:v>Tier 1 — official</x:v>
      </x:c>
      <x:c r="AC12" s="17" t="n">
        <x:v>46243</x:v>
      </x:c>
      <x:c r="AD12" s="18" t="str">
        <x:v>Current</x:v>
      </x:c>
      <x:c r="AE12" s="18" t="str">
        <x:v>Aggregate hostile-state assessment only.</x:v>
      </x:c>
    </x:row>
    <x:row r="13">
      <x:c r="A13" s="17" t="n">
        <x:v>46229</x:v>
      </x:c>
      <x:c r="B13" s="18" t="str">
        <x:v>Cyber incident cluster</x:v>
      </x:c>
      <x:c r="C13" s="18" t="str">
        <x:v>United States — Minnesota</x:v>
      </x:c>
      <x:c r="D13" s="18" t="str">
        <x:v>Water and wastewater / operational technology</x:v>
      </x:c>
      <x:c r="E13" s="18" t="str">
        <x:v>Water / wastewater</x:v>
      </x:c>
      <x:c r="F13" s="18" t="str">
        <x:v>More than 30 community water systems</x:v>
      </x:c>
      <x:c r="G13" s="18" t="str">
        <x:v>Coordinated attacks targeted more than 30 Minnesota community water systems over 26–27 July. Reported effects across the wider campaign included operator lockouts, settings changes, loss of pressure, flooding, temporary shutdowns and movement to manual operation.</x:v>
      </x:c>
      <x:c r="H13" s="18" t="str">
        <x:v>OT / PLC / remote monitoring and control</x:v>
      </x:c>
      <x:c r="I13" s="18" t="str">
        <x:v>Operational degradation at some facilities; manual resets / manual operation required.</x:v>
      </x:c>
      <x:c r="J13" s="18" t="str">
        <x:v>Pressure loss and flooding reported within the broader cluster; no contamination established.</x:v>
      </x:c>
      <x:c r="K13" s="18" t="str">
        <x:v>Official incident reporting / investigation</x:v>
      </x:c>
      <x:c r="L13" s="18" t="str">
        <x:v>None accepted as established</x:v>
      </x:c>
      <x:c r="M13" s="18" t="str">
        <x:v>Unknown</x:v>
      </x:c>
      <x:c r="N13" s="18" t="str">
        <x:v>Iranian-affiliated activity was a serious investigative hypothesis because of timing, methods and prior PLC campaign; current wave not formally attributed.</x:v>
      </x:c>
      <x:c r="O13" s="18" t="str">
        <x:v>No definitive federal attribution of the current wave.</x:v>
      </x:c>
      <x:c r="P13" s="18" t="str">
        <x:v>🟢 Established</x:v>
      </x:c>
      <x:c r="Q13" s="18" t="str">
        <x:v>🟢 Established</x:v>
      </x:c>
      <x:c r="R13" s="18" t="str">
        <x:v>🟠 Suspected / developing</x:v>
      </x:c>
      <x:c r="S13" s="18" t="str">
        <x:v>🟡 Probable relation to broader US water OT cluster</x:v>
      </x:c>
      <x:c r="T13" s="18" t="str">
        <x:v>🟠 Credible cluster</x:v>
      </x:c>
      <x:c r="U13" s="18" t="str">
        <x:v>Very high — civilian water infrastructure in direct belligerent state</x:v>
      </x:c>
      <x:c r="V13" s="18" t="str">
        <x:v>Suspected / unresolved</x:v>
      </x:c>
      <x:c r="W13" s="18" t="str">
        <x:v>Suspected</x:v>
      </x:c>
      <x:c r="X13" s="18" t="str">
        <x:v>Opportunistic exploitation of exposed controllers; criminal or hacktivist activity; copycats; multiple operators.</x:v>
      </x:c>
      <x:c r="Y13" s="18" t="str">
        <x:v>High operational significance; physical-process effects at some facilities</x:v>
      </x:c>
      <x:c r="Z13" s="18" t="str">
        <x:v>No drinking-water contamination established; effects were not uniform across all facilities.</x:v>
      </x:c>
      <x:c r="AA13" s="18" t="str">
        <x:v>https://www.reuters.com/legal/litigation/minnesota-it-officials-disclose-coordinated-cyberattack-more-than-30-local-water-2026-07-28/ | https://www.reuters.com/world/us-cyber-defense-agency-warns-increased-hacker-targeting-water-utilities-2026-07-30/</x:v>
      </x:c>
      <x:c r="AB13" s="18" t="str">
        <x:v>Tier 1 state/FBI reporting via Tier 3 Reuters</x:v>
      </x:c>
      <x:c r="AC13" s="17" t="n">
        <x:v>46243</x:v>
      </x:c>
      <x:c r="AD13" s="18" t="str">
        <x:v>Current</x:v>
      </x:c>
      <x:c r="AE13" s="18" t="str">
        <x:v>2026-07-26 investigation open → 2026-07-30 Iranian involvement suspected in reporting; no formal federal attribution.</x:v>
      </x:c>
    </x:row>
    <x:row r="14">
      <x:c r="A14" s="17" t="n">
        <x:v>46232</x:v>
      </x:c>
      <x:c r="B14" s="18" t="str">
        <x:v>Cyber incidents / data breach cluster</x:v>
      </x:c>
      <x:c r="C14" s="18" t="str">
        <x:v>United Kingdom</x:v>
      </x:c>
      <x:c r="D14" s="18" t="str">
        <x:v>Education; government administration; policing / justice data</x:v>
      </x:c>
      <x:c r="E14" s="18" t="str">
        <x:v>Policing / justice</x:v>
      </x:c>
      <x:c r="F14" s="18" t="str">
        <x:v>Department for Education; Police National Legal Database</x:v>
      </x:c>
      <x:c r="G14" s="18" t="str">
        <x:v>Breaches exposed more than 740,000 data items. ExfilSquad claimed the intrusions and demanded payment; DfE, NCSC, NCA and ICO investigations were under way.</x:v>
      </x:c>
      <x:c r="H14" s="18" t="str">
        <x:v>Government data / administrative IT</x:v>
      </x:c>
      <x:c r="I14" s="18" t="str">
        <x:v>Large-scale loss of state-held data confidentiality; service disruption not the primary reported effect.</x:v>
      </x:c>
      <x:c r="J14" s="18" t="str">
        <x:v>More than 740,000 data items exposed.</x:v>
      </x:c>
      <x:c r="K14" s="18" t="str">
        <x:v>📣 Actor-claimed</x:v>
      </x:c>
      <x:c r="L14" s="18" t="str">
        <x:v>ExfilSquad</x:v>
      </x:c>
      <x:c r="M14" s="18" t="str">
        <x:v>Unknown / newly named cybercriminal group claim</x:v>
      </x:c>
      <x:c r="N14" s="18" t="str">
        <x:v>None publicly established.</x:v>
      </x:c>
      <x:c r="O14" s="18" t="str">
        <x:v>No public Iran attribution.</x:v>
      </x:c>
      <x:c r="P14" s="18" t="str">
        <x:v>🟢 Established</x:v>
      </x:c>
      <x:c r="Q14" s="18" t="str">
        <x:v>🟢 Established</x:v>
      </x:c>
      <x:c r="R14" s="18" t="str">
        <x:v>⚪ Open</x:v>
      </x:c>
      <x:c r="S14" s="18" t="str">
        <x:v>🟡 Possible relation between the two UK breaches via same claim</x:v>
      </x:c>
      <x:c r="T14" s="18" t="str">
        <x:v>🟡 Possible recurrence</x:v>
      </x:c>
      <x:c r="U14" s="18" t="str">
        <x:v>Moderate — essential state administration and policing data in support-state environment</x:v>
      </x:c>
      <x:c r="V14" s="18" t="str">
        <x:v>No public Iran attribution</x:v>
      </x:c>
      <x:c r="W14" s="18" t="str">
        <x:v>Open</x:v>
      </x:c>
      <x:c r="X14" s="18" t="str">
        <x:v>Ordinary cybercrime / extortion; shared access or provider; unrelated incidents claimed together.</x:v>
      </x:c>
      <x:c r="Y14" s="18" t="str">
        <x:v>High data-governance and person-centred risk significance</x:v>
      </x:c>
      <x:c r="Z14" s="18" t="str">
        <x:v>No public evidence of Iranian state direction.</x:v>
      </x:c>
      <x:c r="AA14" s="18" t="str">
        <x:v>https://www.theguardian.com/technology/2026/jul/29/department-for-education-police-hackers-cybercrime</x:v>
      </x:c>
      <x:c r="AB14" s="18" t="str">
        <x:v>Tier 3 — reputable reporting</x:v>
      </x:c>
      <x:c r="AC14" s="17" t="n">
        <x:v>46243</x:v>
      </x:c>
      <x:c r="AD14" s="18" t="str">
        <x:v>Current</x:v>
      </x:c>
      <x:c r="AE14" s="18" t="str">
        <x:v>Cybercriminal claim; ultimate customer / sponsorship open.</x:v>
      </x:c>
    </x:row>
    <x:row r="15">
      <x:c r="A15" s="17" t="n">
        <x:v>46233</x:v>
      </x:c>
      <x:c r="B15" s="18" t="str">
        <x:v>Campaign update</x:v>
      </x:c>
      <x:c r="C15" s="18" t="str">
        <x:v>United States — multi-state</x:v>
      </x:c>
      <x:c r="D15" s="18" t="str">
        <x:v>Water and wastewater / operational technology</x:v>
      </x:c>
      <x:c r="E15" s="18" t="str">
        <x:v>Water / wastewater</x:v>
      </x:c>
      <x:c r="F15" s="18" t="str">
        <x:v>Water and wastewater utilities in at least seven states</x:v>
      </x:c>
      <x:c r="G15" s="18" t="str">
        <x:v>CISA and FBI warned of a significant increase in attacks on water and wastewater control technology; utilities in at least seven states had reported incidents and some activity degraded water operations.</x:v>
      </x:c>
      <x:c r="H15" s="18" t="str">
        <x:v>OT / industrial control / PLCs</x:v>
      </x:c>
      <x:c r="I15" s="18" t="str">
        <x:v>Some incidents degraded operations; password changes, device disconnection, boil-water notices and sustained manual operations were reported in the wider warning.</x:v>
      </x:c>
      <x:c r="J15" s="18" t="str">
        <x:v>Operational effects included pressure loss and flooding in the wider campaign; no common contamination finding.</x:v>
      </x:c>
      <x:c r="K15" s="18" t="str">
        <x:v>Official warning / investigation</x:v>
      </x:c>
      <x:c r="L15" s="18" t="str">
        <x:v>N/A</x:v>
      </x:c>
      <x:c r="M15" s="18" t="str">
        <x:v>Unknown</x:v>
      </x:c>
      <x:c r="N15" s="18" t="str">
        <x:v>Iranian involvement suspected by investigators; methods consistent with previously documented Iranian-affiliated PLC activity.</x:v>
      </x:c>
      <x:c r="O15" s="18" t="str">
        <x:v>No definitive federal attribution of the entire current wave.</x:v>
      </x:c>
      <x:c r="P15" s="18" t="str">
        <x:v>🟢 Established</x:v>
      </x:c>
      <x:c r="Q15" s="18" t="str">
        <x:v>🟢 Established</x:v>
      </x:c>
      <x:c r="R15" s="18" t="str">
        <x:v>🟠 Suspected / developing</x:v>
      </x:c>
      <x:c r="S15" s="18" t="str">
        <x:v>🟢 Established multi-state recurrence; common sponsor unresolved</x:v>
      </x:c>
      <x:c r="T15" s="18" t="str">
        <x:v>🟠 Credible cluster</x:v>
      </x:c>
      <x:c r="U15" s="18" t="str">
        <x:v>Very high</x:v>
      </x:c>
      <x:c r="V15" s="18" t="str">
        <x:v>Suspected / unresolved</x:v>
      </x:c>
      <x:c r="W15" s="18" t="str">
        <x:v>Suspected</x:v>
      </x:c>
      <x:c r="X15" s="18" t="str">
        <x:v>Multiple actors exploiting internet-exposed OT; opportunistic criminal or hacktivist activity; copycats.</x:v>
      </x:c>
      <x:c r="Y15" s="18" t="str">
        <x:v>High — multi-state essential civilian infrastructure campaign</x:v>
      </x:c>
      <x:c r="Z15" s="18" t="str">
        <x:v>No definitive federal attribution; no uniform safety effect.</x:v>
      </x:c>
      <x:c r="AA15" s="18" t="str">
        <x:v>https://www.reuters.com/world/us-cyber-defense-agency-warns-increased-hacker-targeting-water-utilities-2026-07-30/ | https://www.epa.gov/newsreleases/epa-fbi-cisa-nsa-issue-joint-cybersecurity-advisory-water-system-regarding-iranian</x:v>
      </x:c>
      <x:c r="AB15" s="18" t="str">
        <x:v>Tier 1 official advisory + Tier 3 Reuters</x:v>
      </x:c>
      <x:c r="AC15" s="17" t="n">
        <x:v>46243</x:v>
      </x:c>
      <x:c r="AD15" s="18" t="str">
        <x:v>Updated</x:v>
      </x:c>
      <x:c r="AE15" s="18" t="str">
        <x:v>Pattern widened from Minnesota to at least seven states; attribution remained suspected rather than formal.</x:v>
      </x:c>
    </x:row>
    <x:row r="16">
      <x:c r="A16" s="17" t="n">
        <x:v>46234</x:v>
      </x:c>
      <x:c r="B16" s="18" t="str">
        <x:v>Attribution / public-position update</x:v>
      </x:c>
      <x:c r="C16" s="18" t="str">
        <x:v>United States</x:v>
      </x:c>
      <x:c r="D16" s="18" t="str">
        <x:v>Water and wastewater / operational technology</x:v>
      </x:c>
      <x:c r="E16" s="18" t="str">
        <x:v>Water / wastewater</x:v>
      </x:c>
      <x:c r="F16" s="18" t="str">
        <x:v>Minnesota and wider water campaign</x:v>
      </x:c>
      <x:c r="G16" s="18" t="str">
        <x:v>President Trump publicly said he did not believe Iran was responsible for the Minnesota cyberattack, while federal investigators and reporting continued to examine an Iranian link and the FBI had not formally attributed the campaign.</x:v>
      </x:c>
      <x:c r="H16" s="18" t="str">
        <x:v>Public attribution / policy record</x:v>
      </x:c>
      <x:c r="I16" s="18" t="str">
        <x:v>No new operational effect; this row records a contested public attribution position.</x:v>
      </x:c>
      <x:c r="J16" s="18" t="str">
        <x:v>N/A</x:v>
      </x:c>
      <x:c r="K16" s="18" t="str">
        <x:v>Public political statement</x:v>
      </x:c>
      <x:c r="L16" s="18" t="str">
        <x:v>N/A</x:v>
      </x:c>
      <x:c r="M16" s="18" t="str">
        <x:v>Unknown</x:v>
      </x:c>
      <x:c r="N16" s="18" t="str">
        <x:v>Competing public/investigative signals; no formal agency attribution.</x:v>
      </x:c>
      <x:c r="O16" s="18" t="str">
        <x:v>No formal agency attribution; presidential statement rejected Iran responsibility.</x:v>
      </x:c>
      <x:c r="P16" s="18" t="str">
        <x:v>🟢 Established as public-position event</x:v>
      </x:c>
      <x:c r="Q16" s="18" t="str">
        <x:v>N/A</x:v>
      </x:c>
      <x:c r="R16" s="18" t="str">
        <x:v>⚪ Open</x:v>
      </x:c>
      <x:c r="S16" s="18" t="str">
        <x:v>N/A</x:v>
      </x:c>
      <x:c r="T16" s="18" t="str">
        <x:v>🔴 Pattern may exist independently of sponsor</x:v>
      </x:c>
      <x:c r="U16" s="18" t="str">
        <x:v>High — demonstrates public/private attribution gap</x:v>
      </x:c>
      <x:c r="V16" s="18" t="str">
        <x:v>Open / contested</x:v>
      </x:c>
      <x:c r="W16" s="18" t="str">
        <x:v>Open</x:v>
      </x:c>
      <x:c r="X16" s="18" t="str">
        <x:v>Political interpretation may differ from technical investigation; incident may involve unrelated or multiple actors.</x:v>
      </x:c>
      <x:c r="Y16" s="18" t="str">
        <x:v>High methodological significance for attribution history</x:v>
      </x:c>
      <x:c r="Z16" s="18" t="str">
        <x:v>No formal FBI/CISA attribution of the current wave.</x:v>
      </x:c>
      <x:c r="AA16" s="18" t="str">
        <x:v>https://www.reuters.com/world/us/trump-says-iran-not-blame-minnesota-cyber-attack-2026-07-31/</x:v>
      </x:c>
      <x:c r="AB16" s="18" t="str">
        <x:v>Tier 3 reporting on public statement + agency position</x:v>
      </x:c>
      <x:c r="AC16" s="17" t="n">
        <x:v>46243</x:v>
      </x:c>
      <x:c r="AD16" s="18" t="str">
        <x:v>Current</x:v>
      </x:c>
      <x:c r="AE16" s="18" t="str">
        <x:v>Suspected Iran link in investigative reporting → presidential rejection → formal agency attribution still open.</x:v>
      </x:c>
    </x:row>
    <x:row r="17">
      <x:c r="A17" s="17" t="n">
        <x:v>46235</x:v>
      </x:c>
      <x:c r="B17" s="18" t="str">
        <x:v>Cyber incident cluster</x:v>
      </x:c>
      <x:c r="C17" s="18" t="str">
        <x:v>United States — Michigan</x:v>
      </x:c>
      <x:c r="D17" s="18" t="str">
        <x:v>Water and wastewater / operational technology</x:v>
      </x:c>
      <x:c r="E17" s="18" t="str">
        <x:v>Water / wastewater</x:v>
      </x:c>
      <x:c r="F17" s="18" t="str">
        <x:v>Nine Michigan water systems</x:v>
      </x:c>
      <x:c r="G17" s="18" t="str">
        <x:v>Michigan reported cyberattacks on nine water systems after a federal cyber alert about attempts to tamper with water-sector operational technology. State officials said all affected systems continued to operate safely.</x:v>
      </x:c>
      <x:c r="H17" s="18" t="str">
        <x:v>OT / remote monitoring and control</x:v>
      </x:c>
      <x:c r="I17" s="18" t="str">
        <x:v>Issues were addressed by local operators; systems continued operating safely.</x:v>
      </x:c>
      <x:c r="J17" s="18" t="str">
        <x:v>No known public-health impact.</x:v>
      </x:c>
      <x:c r="K17" s="18" t="str">
        <x:v>Official state reporting / FBI investigation</x:v>
      </x:c>
      <x:c r="L17" s="18" t="str">
        <x:v>N/A</x:v>
      </x:c>
      <x:c r="M17" s="18" t="str">
        <x:v>Unknown</x:v>
      </x:c>
      <x:c r="N17" s="18" t="str">
        <x:v>Activity described as consistent with federal alerts; Iranian interest in the sector was known, but FBI had not identified a culprit.</x:v>
      </x:c>
      <x:c r="O17" s="18" t="str">
        <x:v>None.</x:v>
      </x:c>
      <x:c r="P17" s="18" t="str">
        <x:v>🟢 Established</x:v>
      </x:c>
      <x:c r="Q17" s="18" t="str">
        <x:v>🟢 Established</x:v>
      </x:c>
      <x:c r="R17" s="18" t="str">
        <x:v>⚪ Open</x:v>
      </x:c>
      <x:c r="S17" s="18" t="str">
        <x:v>🟡 Probable relationship to broader water OT wave</x:v>
      </x:c>
      <x:c r="T17" s="18" t="str">
        <x:v>🟠 Credible cluster</x:v>
      </x:c>
      <x:c r="U17" s="18" t="str">
        <x:v>Very high</x:v>
      </x:c>
      <x:c r="V17" s="18" t="str">
        <x:v>Open; Iranian involvement not formally attributed</x:v>
      </x:c>
      <x:c r="W17" s="18" t="str">
        <x:v>Open</x:v>
      </x:c>
      <x:c r="X17" s="18" t="str">
        <x:v>Same exposed technology exploited by unrelated actors; opportunistic activity; broader criminal/hacktivist wave.</x:v>
      </x:c>
      <x:c r="Y17" s="18" t="str">
        <x:v>High pattern significance; limited reported local consequence</x:v>
      </x:c>
      <x:c r="Z17" s="18" t="str">
        <x:v>All systems reportedly operated safely; no known public-health impact.</x:v>
      </x:c>
      <x:c r="AA17" s="18" t="str">
        <x:v>https://apnews.com/article/77d52a1d7356e608500a1ddb0ec373a6 | https://www.michigan.gov/egle/about/organization/drinking-water-and-environmental-health/drinking-water/cybersecurity</x:v>
      </x:c>
      <x:c r="AB17" s="18" t="str">
        <x:v>Tier 1 state + Tier 3 AP</x:v>
      </x:c>
      <x:c r="AC17" s="17" t="n">
        <x:v>46243</x:v>
      </x:c>
      <x:c r="AD17" s="18" t="str">
        <x:v>Current</x:v>
      </x:c>
      <x:c r="AE17" s="18" t="str">
        <x:v>FBI investigation open; no culprit publicly identified.</x:v>
      </x:c>
    </x:row>
    <x:row r="18">
      <x:c r="A18" s="17" t="n">
        <x:v>46238</x:v>
      </x:c>
      <x:c r="B18" s="18" t="str">
        <x:v>Campaign expansion</x:v>
      </x:c>
      <x:c r="C18" s="18" t="str">
        <x:v>United States — at least 12 states</x:v>
      </x:c>
      <x:c r="D18" s="18" t="str">
        <x:v>Water and wastewater / operational technology</x:v>
      </x:c>
      <x:c r="E18" s="18" t="str">
        <x:v>Water / wastewater</x:v>
      </x:c>
      <x:c r="F18" s="18" t="str">
        <x:v>Municipal water and wastewater utilities</x:v>
      </x:c>
      <x:c r="G18" s="18" t="str">
        <x:v>Reporting widened the known footprint of the water-sector cyber activity to at least 12 states, making the recurrence itself a nationally distributed campaign-level phenomenon.</x:v>
      </x:c>
      <x:c r="H18" s="18" t="str">
        <x:v>OT / PLC / remote-control systems</x:v>
      </x:c>
      <x:c r="I18" s="18" t="str">
        <x:v>Effects varied by utility; wider campaign included lockouts, settings changes, manual operation, pressure disruption and temporary outages.</x:v>
      </x:c>
      <x:c r="J18" s="18" t="str">
        <x:v>No general contamination finding; physical-process effects were documented at some facilities, not all.</x:v>
      </x:c>
      <x:c r="K18" s="18" t="str">
        <x:v>Campaign-level reporting</x:v>
      </x:c>
      <x:c r="L18" s="18" t="str">
        <x:v>N/A</x:v>
      </x:c>
      <x:c r="M18" s="18" t="str">
        <x:v>Unknown / potentially multiple</x:v>
      </x:c>
      <x:c r="N18" s="18" t="str">
        <x:v>Iran remained a serious investigative hypothesis because of earlier Iranian-affiliated PLC activity, but common sponsorship was unresolved.</x:v>
      </x:c>
      <x:c r="O18" s="18" t="str">
        <x:v>No definitive public attribution of the whole current wave.</x:v>
      </x:c>
      <x:c r="P18" s="18" t="str">
        <x:v>🟢 Established campaign expansion</x:v>
      </x:c>
      <x:c r="Q18" s="18" t="str">
        <x:v>🟢 Established that operational effects occurred somewhere in campaign</x:v>
      </x:c>
      <x:c r="R18" s="18" t="str">
        <x:v>🟠 Suspected / developing</x:v>
      </x:c>
      <x:c r="S18" s="18" t="str">
        <x:v>🟢 Established recurrence; common operator/customer open</x:v>
      </x:c>
      <x:c r="T18" s="18" t="str">
        <x:v>🔴 Established campaign pattern</x:v>
      </x:c>
      <x:c r="U18" s="18" t="str">
        <x:v>Very high</x:v>
      </x:c>
      <x:c r="V18" s="18" t="str">
        <x:v>Suspected / unresolved</x:v>
      </x:c>
      <x:c r="W18" s="18" t="str">
        <x:v>Suspected</x:v>
      </x:c>
      <x:c r="X18" s="18" t="str">
        <x:v>Several operators exploiting the same exposed technology; copycats; criminal/hacktivist activity; shared vulnerabilities.</x:v>
      </x:c>
      <x:c r="Y18" s="18" t="str">
        <x:v>Very high national-resilience significance</x:v>
      </x:c>
      <x:c r="Z18" s="18" t="str">
        <x:v>Drinking water remained safe in reported affected regions; no uniform effect across all utilities.</x:v>
      </x:c>
      <x:c r="AA18" s="18" t="str">
        <x:v>https://www.axios.com/2026/08/04/water-cyberattacks-us-iran | https://apnews.com/article/77d52a1d7356e608500a1ddb0ec373a6 | https://www.epa.gov/newsreleases/epa-fbi-cisa-nsa-issue-joint-cybersecurity-advisory-water-system-regarding-iranian</x:v>
      </x:c>
      <x:c r="AB18" s="18" t="str">
        <x:v>Tier 1 official background + Tier 3 reporting</x:v>
      </x:c>
      <x:c r="AC18" s="17" t="n">
        <x:v>46243</x:v>
      </x:c>
      <x:c r="AD18" s="18" t="str">
        <x:v>Current</x:v>
      </x:c>
      <x:c r="AE18" s="18" t="str">
        <x:v>Pattern confidence upgraded to established; sponsor confidence remained below confirmation.</x:v>
      </x:c>
    </x:row>
    <x:row r="19">
      <x:c r="A19" s="17" t="n">
        <x:v>46240</x:v>
      </x:c>
      <x:c r="B19" s="18" t="str">
        <x:v>Cybercrime campaign / targeting</x:v>
      </x:c>
      <x:c r="C19" s="18" t="str">
        <x:v>United States</x:v>
      </x:c>
      <x:c r="D19" s="18" t="str">
        <x:v>Financial services / financial market infrastructure</x:v>
      </x:c>
      <x:c r="E19" s="18" t="str">
        <x:v>Financial services</x:v>
      </x:c>
      <x:c r="F19" s="18" t="str">
        <x:v>Major private-equity firms, hedge funds, ratings agencies and CME Group among targets</x:v>
      </x:c>
      <x:c r="G19" s="18" t="str">
        <x:v>Reuters identified a coordinated vishing / credential-harvesting campaign targeting dozens of major US financial firms and other companies. Google tracks the underlying extortion activity as UNC6671 / BlackFile-related and described high-volume voice phishing, SSO compromise and data theft for extortion.</x:v>
      </x:c>
      <x:c r="H19" s="18" t="str">
        <x:v>Identity / SSO / cloud SaaS / enterprise data</x:v>
      </x:c>
      <x:c r="I19" s="18" t="str">
        <x:v>Targeting was extensive; successful compromises occurred within the broader UNC6671 campaign, but Reuters could not establish that every named financial target was successfully breached. No market-wide operational disruption was reported.</x:v>
      </x:c>
      <x:c r="J19" s="18" t="str">
        <x:v>Potential credential compromise and data theft; impact varied by victim.</x:v>
      </x:c>
      <x:c r="K19" s="18" t="str">
        <x:v>Technical campaign attribution / reporting</x:v>
      </x:c>
      <x:c r="L19" s="18" t="str">
        <x:v>BlackFile-related aliases / extortion operators</x:v>
      </x:c>
      <x:c r="M19" s="18" t="str">
        <x:v>UNC6671 / BlackFile-related criminal extortion ecosystem</x:v>
      </x:c>
      <x:c r="N19" s="18" t="str">
        <x:v>No public state relationship established for this campaign.</x:v>
      </x:c>
      <x:c r="O19" s="18" t="str">
        <x:v>None.</x:v>
      </x:c>
      <x:c r="P19" s="18" t="str">
        <x:v>🟢 Established targeting campaign</x:v>
      </x:c>
      <x:c r="Q19" s="18" t="str">
        <x:v>🟠 Developing for named targets</x:v>
      </x:c>
      <x:c r="R19" s="18" t="str">
        <x:v>🟢 Established as criminal extortion cluster; ⚪ Open for any state customer</x:v>
      </x:c>
      <x:c r="S19" s="18" t="str">
        <x:v>🟢 Established criminal campaign pattern</x:v>
      </x:c>
      <x:c r="T19" s="18" t="str">
        <x:v>🔴 Established cybercrime campaign pattern</x:v>
      </x:c>
      <x:c r="U19" s="18" t="str">
        <x:v>Moderate — systemic finance perimeter during wartime, but no positive Iran evidence</x:v>
      </x:c>
      <x:c r="V19" s="18" t="str">
        <x:v>⚪ Open / no public evidence of Iran involvement</x:v>
      </x:c>
      <x:c r="W19" s="18" t="str">
        <x:v>Open</x:v>
      </x:c>
      <x:c r="X19" s="18" t="str">
        <x:v>Straightforward financially motivated cybercrime is the leading explanation; later resale or tasking cannot be inferred without evidence.</x:v>
      </x:c>
      <x:c r="Y19" s="18" t="str">
        <x:v>High targeting significance; systemically important financial-market organisations among targets; no reported systemic outage</x:v>
      </x:c>
      <x:c r="Z19" s="18" t="str">
        <x:v>No public Iran attribution; no established market-wide disruption; not every named target was confirmed compromised.</x:v>
      </x:c>
      <x:c r="AA19" s="18" t="str">
        <x:v>https://www.reuters.com/world/hackers-targeted-us-private-equity-other-firms-including-blackstone-cme-data-2026-08-06/ | https://cloud.google.com/blog/topics/threat-intelligence/blackfile-vishing-extortion-operation/</x:v>
      </x:c>
      <x:c r="AB19" s="18" t="str">
        <x:v>Tier 2 primary technical research + Tier 3 Reuters target identification</x:v>
      </x:c>
      <x:c r="AC19" s="17" t="n">
        <x:v>46243</x:v>
      </x:c>
      <x:c r="AD19" s="18" t="str">
        <x:v>Current</x:v>
      </x:c>
      <x:c r="AE19" s="18" t="str">
        <x:v>Criminal extortion attribution strong; ultimate customer/state-use question remains analytically separate and unsupported.</x:v>
      </x:c>
    </x:row>
    <x:row r="20">
      <x:c r="A20" s="12" t="n">
        <x:v>46233</x:v>
      </x:c>
      <x:c r="B20" s="13" t="str">
        <x:v>Attribution assessment update</x:v>
      </x:c>
      <x:c r="C20" s="13" t="str">
        <x:v>United States — Minnesota</x:v>
      </x:c>
      <x:c r="D20" s="13" t="str">
        <x:v>Water and wastewater / operational technology</x:v>
      </x:c>
      <x:c r="E20" s="13" t="str">
        <x:v>Water / wastewater</x:v>
      </x:c>
      <x:c r="F20" s="13" t="str">
        <x:v>More than 30 Minnesota community water systems</x:v>
      </x:c>
      <x:c r="G20" s="13" t="str">
        <x:v>US and state officials were reported to believe the Minnesota attacks were probably the work of Iranian hackers; a separate WaterISAC communication reported by WIRED, drawing on Minnesota Fusion Center information, linked the activity to Iranian-affiliated actors.</x:v>
      </x:c>
      <x:c r="H20" s="13" t="str">
        <x:v>Attribution / intelligence record</x:v>
      </x:c>
      <x:c r="I20" s="13" t="str">
        <x:v>No new operational effect; attribution assessment strengthened.</x:v>
      </x:c>
      <x:c r="J20" s="13" t="str">
        <x:v>N/A</x:v>
      </x:c>
      <x:c r="K20" s="13" t="str">
        <x:v>Reported investigative assessment</x:v>
      </x:c>
      <x:c r="L20" s="13" t="str">
        <x:v>N/A</x:v>
      </x:c>
      <x:c r="M20" s="13" t="str">
        <x:v>Iranian / Iran-affiliated actor not publicly resolved to one operator</x:v>
      </x:c>
      <x:c r="N20" s="13" t="str">
        <x:v>Reported Iranian / Iran-affiliated responsibility; exact IRGC direction and operator identity not formally established.</x:v>
      </x:c>
      <x:c r="O20" s="13" t="str">
        <x:v>No formal public federal attribution.</x:v>
      </x:c>
      <x:c r="P20" s="13" t="str">
        <x:v>🟢 Established as attribution event</x:v>
      </x:c>
      <x:c r="Q20" s="13" t="str">
        <x:v>N/A</x:v>
      </x:c>
      <x:c r="R20" s="13" t="str">
        <x:v>🟡 Probable</x:v>
      </x:c>
      <x:c r="S20" s="13" t="str">
        <x:v>🟡 Probable for Minnesota/core cluster; wider propagation requires incident-level evidence</x:v>
      </x:c>
      <x:c r="T20" s="13" t="str">
        <x:v>🔴 Established campaign pattern</x:v>
      </x:c>
      <x:c r="U20" s="13" t="str">
        <x:v>Very high</x:v>
      </x:c>
      <x:c r="V20" s="13" t="str">
        <x:v>Probable for Minnesota/core wave</x:v>
      </x:c>
      <x:c r="W20" s="13" t="str">
        <x:v>Reported investigative assessment / state-fusion-centre-linked information</x:v>
      </x:c>
      <x:c r="X20" s="13" t="str">
        <x:v>False flag or deliberate mimicry; multiple operators; unrelated exploitation of the same exposed OT.</x:v>
      </x:c>
      <x:c r="Y20" s="13" t="str">
        <x:v>Very high methodological and strategic significance</x:v>
      </x:c>
      <x:c r="Z20" s="13" t="str">
        <x:v>Assessment remained preliminary; no formal FBI/CISA/NSA/EPA attribution.</x:v>
      </x:c>
      <x:c r="AA20" s="13" t="str">
        <x:v>New York Times, 30 July 2026 | WIRED, 30 July 2026 | Minnesota IT Services, 28 July 2026</x:v>
      </x:c>
      <x:c r="AB20" s="13" t="str">
        <x:v>Tier 1 state source + Tier 3 high-quality reporting on officials / sector intelligence</x:v>
      </x:c>
      <x:c r="AC20" s="12" t="n">
        <x:v>46248</x:v>
      </x:c>
      <x:c r="AD20" s="13" t="str">
        <x:v>Updated</x:v>
      </x:c>
      <x:c r="AE20" s="13" t="str">
        <x:v>Unattributed/open → suspected Iran link → probable Iran-linked assessment at Minnesota/core-wave level; formal public federal attribution still absent.</x:v>
      </x:c>
    </x:row>
    <x:row r="21">
      <x:c r="A21" s="12" t="n">
        <x:v>46236</x:v>
      </x:c>
      <x:c r="B21" s="13" t="str">
        <x:v>Attribution governance update</x:v>
      </x:c>
      <x:c r="C21" s="13" t="str">
        <x:v>United States — multi-state</x:v>
      </x:c>
      <x:c r="D21" s="13" t="str">
        <x:v>Water and wastewater / operational technology</x:v>
      </x:c>
      <x:c r="E21" s="13" t="str">
        <x:v>Water / wastewater</x:v>
      </x:c>
      <x:c r="F21" s="13" t="str">
        <x:v>Widening US water-sector campaign</x:v>
      </x:c>
      <x:c r="G21" s="13" t="str">
        <x:v>High-quality reporting on the widening campaign said US intelligence agencies assessed Iranian actors were highly likely responsible, while President Trump had publicly rejected the Iran explanation and federal agencies had not issued a formal public attribution.</x:v>
      </x:c>
      <x:c r="H21" s="13" t="str">
        <x:v>Attribution / intelligence / governance record</x:v>
      </x:c>
      <x:c r="I21" s="13" t="str">
        <x:v>No new operational effect in this row.</x:v>
      </x:c>
      <x:c r="J21" s="13" t="str">
        <x:v>N/A</x:v>
      </x:c>
      <x:c r="K21" s="13" t="str">
        <x:v>Reported intelligence assessment + contrary political statement</x:v>
      </x:c>
      <x:c r="L21" s="13" t="str">
        <x:v>N/A</x:v>
      </x:c>
      <x:c r="M21" s="13" t="str">
        <x:v>Iranian actors assessed likely; exact operator unresolved publicly</x:v>
      </x:c>
      <x:c r="N21" s="13" t="str">
        <x:v>Reported intelligence assessment materially favours Iranian responsibility; state-direction granularity remains unresolved publicly.</x:v>
      </x:c>
      <x:c r="O21" s="13" t="str">
        <x:v>No formal public FBI/CISA/NSA/EPA attribution; presidential statement rejected Iran responsibility.</x:v>
      </x:c>
      <x:c r="P21" s="13" t="str">
        <x:v>🟢 Established as public-record conflict</x:v>
      </x:c>
      <x:c r="Q21" s="13" t="str">
        <x:v>N/A</x:v>
      </x:c>
      <x:c r="R21" s="13" t="str">
        <x:v>🟡 Probable</x:v>
      </x:c>
      <x:c r="S21" s="13" t="str">
        <x:v>🟡 Probable for core wave; mixed/open for all incidents</x:v>
      </x:c>
      <x:c r="T21" s="13" t="str">
        <x:v>🔴 Established campaign pattern</x:v>
      </x:c>
      <x:c r="U21" s="13" t="str">
        <x:v>Very high</x:v>
      </x:c>
      <x:c r="V21" s="13" t="str">
        <x:v>Probable for core wave; not inherited by every incident</x:v>
      </x:c>
      <x:c r="W21" s="13" t="str">
        <x:v>Reported intelligence assessment</x:v>
      </x:c>
      <x:c r="X21" s="13" t="str">
        <x:v>Multiple actors / copycats / criminal exploitation may coexist with an Iran-linked core wave.</x:v>
      </x:c>
      <x:c r="Y21" s="13" t="str">
        <x:v>Very high — evidentiary assessment and politically publishable assessment diverge</x:v>
      </x:c>
      <x:c r="Z21" s="13" t="str">
        <x:v>No reviewed formal public federal attribution of the whole campaign.</x:v>
      </x:c>
      <x:c r="AA21" s="13" t="str">
        <x:v>New York Times reporting on widening water campaign, early August 2026 | Reuters, 31 July 2026</x:v>
      </x:c>
      <x:c r="AB21" s="13" t="str">
        <x:v>Tier 3 high-quality reporting on intelligence / official assessments</x:v>
      </x:c>
      <x:c r="AC21" s="12" t="n">
        <x:v>46248</x:v>
      </x:c>
      <x:c r="AD21" s="13" t="str">
        <x:v>Updated</x:v>
      </x:c>
      <x:c r="AE21" s="13" t="str">
        <x:v>Reported investigative suspicion → reported probable assessment → reported high-likelihood intelligence assessment; presidential rejection remains a competing public position.</x:v>
      </x:c>
    </x:row>
  </x:sheetData>
  <x:conditionalFormatting sqref="P2:P19">
    <x:cfRule type="expression" dxfId="0" priority="1">
      <x:formula>LEFT(P2,1)="🟢"</x:formula>
    </x:cfRule>
    <x:cfRule type="expression" dxfId="1" priority="2">
      <x:formula>LEFT(P2,1)="🟡"</x:formula>
    </x:cfRule>
    <x:cfRule type="expression" dxfId="2" priority="3">
      <x:formula>LEFT(P2,1)="🟠"</x:formula>
    </x:cfRule>
    <x:cfRule type="expression" dxfId="3" priority="4">
      <x:formula>LEFT(P2,1)="⚪"</x:formula>
    </x:cfRule>
  </x:conditionalFormatting>
  <x:conditionalFormatting sqref="Q2:Q19">
    <x:cfRule type="expression" dxfId="4" priority="5">
      <x:formula>LEFT(Q2,1)="🟢"</x:formula>
    </x:cfRule>
    <x:cfRule type="expression" dxfId="5" priority="6">
      <x:formula>LEFT(Q2,1)="🟡"</x:formula>
    </x:cfRule>
    <x:cfRule type="expression" dxfId="6" priority="7">
      <x:formula>LEFT(Q2,1)="🟠"</x:formula>
    </x:cfRule>
    <x:cfRule type="expression" dxfId="7" priority="8">
      <x:formula>LEFT(Q2,1)="⚪"</x:formula>
    </x:cfRule>
  </x:conditionalFormatting>
  <x:conditionalFormatting sqref="R2:R19">
    <x:cfRule type="expression" dxfId="8" priority="9">
      <x:formula>LEFT(R2,1)="🟢"</x:formula>
    </x:cfRule>
    <x:cfRule type="expression" dxfId="9" priority="10">
      <x:formula>LEFT(R2,1)="🟡"</x:formula>
    </x:cfRule>
    <x:cfRule type="expression" dxfId="10" priority="11">
      <x:formula>LEFT(R2,1)="🟠"</x:formula>
    </x:cfRule>
    <x:cfRule type="expression" dxfId="11" priority="12">
      <x:formula>LEFT(R2,1)="⚪"</x:formula>
    </x:cfRule>
  </x:conditionalFormatting>
  <x:pageMargins left="0.7" right="0.7" top="0.75" bottom="0.75" header="0.3" footer="0.3"/>
  <x:tableParts count="1">
    <x:tablePart xmlns:r="http://schemas.openxmlformats.org/officeDocument/2006/relationships" r:id="R1e3e944ec38a445d"/>
  </x:tableParts>
</x:worksheet>
</file>

<file path=xl/worksheets/sheet2.xml><?xml version="1.0" encoding="utf-8"?>
<x:worksheet xmlns:x="http://schemas.openxmlformats.org/spreadsheetml/2006/main">
  <x:sheetFormatPr defaultRowHeight="15"/>
  <x:cols>
    <x:col min="1" max="1" width="34" hidden="0" customWidth="1"/>
    <x:col min="2" max="2" width="14" hidden="0" customWidth="1"/>
  </x:cols>
  <x:sheetData>
    <x:row r="1">
      <x:c r="A1" s="23" t="str">
        <x:v>Iran War Essential Infrastructure Cyber Timeline — Summary</x:v>
      </x:c>
    </x:row>
    <x:row r="3">
      <x:c r="A3" s="30" t="str">
        <x:v>Metric</x:v>
      </x:c>
      <x:c r="B3" s="30" t="str">
        <x:v>Value</x:v>
      </x:c>
    </x:row>
    <x:row r="4">
      <x:c r="A4" s="13" t="str">
        <x:v>Total records</x:v>
      </x:c>
      <x:c r="B4" s="13" t="n">
        <x:v>20</x:v>
      </x:c>
    </x:row>
    <x:row r="5">
      <x:c r="A5" s="13" t="str">
        <x:v>Incident / cluster / campaign records</x:v>
      </x:c>
      <x:c r="B5" s="13" t="n">
        <x:f>COUNTIF('Incident Register'!B2:B19,"Cyber incident")+COUNTIF('Incident Register'!B2:B19,"Cyber incident cluster")+COUNTIF('Incident Register'!B2:B19,"Cyber incidents / data breach cluster")+COUNTIF('Incident Register'!B2:B19,"Campaign reporting")+COUNTIF('Incident Register'!B2:B19,"Campaign update")+COUNTIF('Incident Register'!B2:B19,"Campaign expansion")+COUNTIF('Incident Register'!B2:B19,"Cybercrime campaign / targeting")+COUNTIF('Incident Register'!B2:B19,"Attribution / incident update")</x:f>
        <x:v>14</x:v>
      </x:c>
    </x:row>
    <x:row r="6">
      <x:c r="A6" s="13" t="str">
        <x:v>Water / wastewater records</x:v>
      </x:c>
      <x:c r="B6" s="13" t="n">
        <x:v>7</x:v>
      </x:c>
    </x:row>
    <x:row r="7">
      <x:c r="A7" s="13" t="str">
        <x:v>Iran attribution: probable</x:v>
      </x:c>
      <x:c r="B7" s="13" t="n">
        <x:v>6</x:v>
      </x:c>
    </x:row>
    <x:row r="8">
      <x:c r="A8" s="13" t="str">
        <x:v>Iran attribution: suspected</x:v>
      </x:c>
      <x:c r="B8" s="13" t="n">
        <x:f>COUNTIF('Incident Register'!W2:W19,"Suspected")</x:f>
        <x:v>4</x:v>
      </x:c>
    </x:row>
    <x:row r="9">
      <x:c r="A9" s="13" t="str">
        <x:v>Iran attribution: open</x:v>
      </x:c>
      <x:c r="B9" s="13" t="n">
        <x:f>COUNTIF('Incident Register'!W2:W19,"Open")</x:f>
        <x:v>9</x:v>
      </x:c>
    </x:row>
    <x:row r="10">
      <x:c r="A10" s="13"/>
      <x:c r="B10" s="13"/>
    </x:row>
    <x:row r="11">
      <x:c r="A11" s="30" t="str">
        <x:v>Sector family</x:v>
      </x:c>
      <x:c r="B11" s="30" t="str">
        <x:v>Count</x:v>
      </x:c>
    </x:row>
    <x:row r="12">
      <x:c r="A12" s="13" t="str">
        <x:v>Water / wastewater</x:v>
      </x:c>
      <x:c r="B12" s="13" t="n">
        <x:v>7</x:v>
      </x:c>
    </x:row>
    <x:row r="13">
      <x:c r="A13" s="13" t="str">
        <x:v>Government / administration</x:v>
      </x:c>
      <x:c r="B13" s="13" t="n">
        <x:f>COUNTIF('Incident Register'!E2:E19,"Government / administration")</x:f>
        <x:v>3</x:v>
      </x:c>
    </x:row>
    <x:row r="14">
      <x:c r="A14" s="13" t="str">
        <x:v>Healthcare / medical supply</x:v>
      </x:c>
      <x:c r="B14" s="13" t="n">
        <x:f>COUNTIF('Incident Register'!E2:E19,"Healthcare / medical supply")</x:f>
        <x:v>2</x:v>
      </x:c>
    </x:row>
    <x:row r="15">
      <x:c r="A15" s="13" t="str">
        <x:v>Transport</x:v>
      </x:c>
      <x:c r="B15" s="13" t="n">
        <x:f>COUNTIF('Incident Register'!E2:E19,"Transport")</x:f>
        <x:v>1</x:v>
      </x:c>
    </x:row>
    <x:row r="16">
      <x:c r="A16" s="13" t="str">
        <x:v>Financial services</x:v>
      </x:c>
      <x:c r="B16" s="13" t="n">
        <x:f>COUNTIF('Incident Register'!E2:E19,"Financial services")</x:f>
        <x:v>2</x:v>
      </x:c>
    </x:row>
    <x:row r="17">
      <x:c r="A17" s="13" t="str">
        <x:v>Policing / justice</x:v>
      </x:c>
      <x:c r="B17" s="13" t="n">
        <x:f>COUNTIF('Incident Register'!E2:E19,"Policing / justice")</x:f>
        <x:v>2</x:v>
      </x:c>
    </x:row>
    <x:row r="18">
      <x:c r="A18" s="13" t="str">
        <x:v>Cross-sector / other</x:v>
      </x:c>
      <x:c r="B18" s="13" t="n">
        <x:f>COUNTIF('Incident Register'!E2:E19,"Cross-sector / other")</x:f>
        <x:v>3</x:v>
      </x:c>
    </x:row>
    <x:row r="20">
      <x:c r="A20" s="34" t="str">
        <x:v>Interpretation note: traffic lights describe confidence in a proposition, not severity. Pattern status is separate. A red established campaign pattern can coexist with open sponsorship.</x:v>
      </x:c>
    </x:row>
  </x:sheetData>
  <x:mergeCells>
    <x:mergeCell ref="A1:H1"/>
    <x:mergeCell ref="A20:H23"/>
  </x:mergeCells>
  <x:pageMargins left="0.7" right="0.7" top="0.75" bottom="0.75" header="0.3" footer="0.3"/>
  <x:drawing xmlns:r="http://schemas.openxmlformats.org/officeDocument/2006/relationships" r:id="R0c057311ac6a4417"/>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38" hidden="0" customWidth="1"/>
    <x:col min="11" max="11" width="38" hidden="0" customWidth="1"/>
    <x:col min="12" max="12" width="38" hidden="0" customWidth="1"/>
    <x:col min="13" max="13" width="38" hidden="0" customWidth="1"/>
    <x:col min="14" max="14" width="38" hidden="0" customWidth="1"/>
    <x:col min="15" max="15" width="24" hidden="0" customWidth="1"/>
  </x:cols>
  <x:sheetData>
    <x:row r="1">
      <x:c r="A1" s="6" t="str">
        <x:v>Campaign / Cluster</x:v>
      </x:c>
      <x:c r="B1" s="6" t="str">
        <x:v>First Observed</x:v>
      </x:c>
      <x:c r="C1" s="6" t="str">
        <x:v>Latest Observed</x:v>
      </x:c>
      <x:c r="D1" s="6" t="str">
        <x:v>Countries / Region</x:v>
      </x:c>
      <x:c r="E1" s="6" t="str">
        <x:v>Sectors</x:v>
      </x:c>
      <x:c r="F1" s="6" t="str">
        <x:v>Pattern Status</x:v>
      </x:c>
      <x:c r="G1" s="6" t="str">
        <x:v>Common Operator Confidence</x:v>
      </x:c>
      <x:c r="H1" s="6" t="str">
        <x:v>Common Sponsor Confidence</x:v>
      </x:c>
      <x:c r="I1" s="6" t="str">
        <x:v>Iranian Link</x:v>
      </x:c>
      <x:c r="J1" s="6" t="str">
        <x:v>Operational Development</x:v>
      </x:c>
      <x:c r="K1" s="6" t="str">
        <x:v>Attribution Development</x:v>
      </x:c>
      <x:c r="L1" s="6" t="str">
        <x:v>Rival Explanations</x:v>
      </x:c>
      <x:c r="M1" s="6" t="str">
        <x:v>Trend Change Since 28 Feb</x:v>
      </x:c>
      <x:c r="N1" s="6" t="str">
        <x:v>Sources</x:v>
      </x:c>
      <x:c r="O1" s="6" t="str">
        <x:v>Last Reviewed</x:v>
      </x:c>
    </x:row>
    <x:row r="2">
      <x:c r="A2" s="13" t="str">
        <x:v>US municipal water OT campaign</x:v>
      </x:c>
      <x:c r="B2" s="12" t="n">
        <x:v>46229</x:v>
      </x:c>
      <x:c r="C2" s="12" t="n">
        <x:v>46238</x:v>
      </x:c>
      <x:c r="D2" s="13" t="str">
        <x:v>United States — at least 12 states</x:v>
      </x:c>
      <x:c r="E2" s="13" t="str">
        <x:v>Water and wastewater / OT</x:v>
      </x:c>
      <x:c r="F2" s="13" t="str">
        <x:v>🔴 Established campaign pattern</x:v>
      </x:c>
      <x:c r="G2" s="13" t="str">
        <x:v>🟡 Probable shared techniques / possible multiple operators</x:v>
      </x:c>
      <x:c r="H2" s="13" t="str">
        <x:v>⚪ Open</x:v>
      </x:c>
      <x:c r="I2" s="13" t="str">
        <x:v>🟠 Suspected / developing</x:v>
      </x:c>
      <x:c r="J2" s="13" t="str">
        <x:v>Minnesota &gt;30 systems → at least 7 states → Michigan 9 systems → at least 12 states. Effects included lockouts, settings changes, manual operation, pressure disruption and some flooding.</x:v>
      </x:c>
      <x:c r="K2" s="13" t="str">
        <x:v>Investigation open → Iran considered serious hypothesis because of prior Iranian-affiliated PLC campaign → no definitive public attribution of whole wave by 9 Aug.</x:v>
      </x:c>
      <x:c r="L2" s="13" t="str">
        <x:v>Multiple unrelated actors exploiting exposed OT; copycats; criminal/hacktivist activity; shared vulnerabilities.</x:v>
      </x:c>
      <x:c r="M2" s="13" t="str">
        <x:v>Strongest pattern shift since 28 Feb: repeated geographically distributed attacks against civilian water operational technology with real operational effects.</x:v>
      </x:c>
      <x:c r="N2" s="13" t="str">
        <x:v>https://www.reuters.com/legal/litigation/minnesota-it-officials-disclose-coordinated-cyberattack-more-than-30-local-water-2026-07-28/ | https://www.reuters.com/world/us-cyber-defense-agency-warns-increased-hacker-targeting-water-utilities-2026-07-30/ | https://apnews.com/article/77d52a1d7356e608500a1ddb0ec373a6 | https://www.axios.com/2026/08/04/water-cyberattacks-us-iran | https://www.epa.gov/newsreleases/epa-fbi-cisa-nsa-issue-joint-cybersecurity-advisory-water-system-regarding-iranian</x:v>
      </x:c>
      <x:c r="O2" s="12" t="n">
        <x:v>46243</x:v>
      </x:c>
    </x:row>
    <x:row r="3">
      <x:c r="A3" s="13" t="str">
        <x:v>US financial-sector vishing/extortion campaign</x:v>
      </x:c>
      <x:c r="B3" s="12" t="n">
        <x:v>46023</x:v>
      </x:c>
      <x:c r="C3" s="12" t="n">
        <x:v>46240</x:v>
      </x:c>
      <x:c r="D3" s="13" t="str">
        <x:v>United States / wider North America</x:v>
      </x:c>
      <x:c r="E3" s="13" t="str">
        <x:v>Financial services / financial market infrastructure</x:v>
      </x:c>
      <x:c r="F3" s="13" t="str">
        <x:v>🔴 Established cybercrime campaign pattern</x:v>
      </x:c>
      <x:c r="G3" s="13" t="str">
        <x:v>🟢 Established criminal threat cluster</x:v>
      </x:c>
      <x:c r="H3" s="13" t="str">
        <x:v>⚪ Open / no state-customer evidence</x:v>
      </x:c>
      <x:c r="I3" s="13" t="str">
        <x:v>⚪ No public Iran evidence</x:v>
      </x:c>
      <x:c r="J3" s="13" t="str">
        <x:v>High-volume vishing and credential harvesting targeted dozens of organisations; Reuters identified major financial firms including CME Group and Moody's among targets. Success varied by target; no systemic market outage reported.</x:v>
      </x:c>
      <x:c r="K3" s="13" t="str">
        <x:v>Google technical research attributes the campaign to financially motivated UNC6671 / BlackFile activity. No public evidence links the campaign to Iran or another state customer.</x:v>
      </x:c>
      <x:c r="L3" s="13" t="str">
        <x:v>Straightforward financially motivated extortion is the leading explanation; later access resale or tasking remains hypothetical without evidence.</x:v>
      </x:c>
      <x:c r="M3" s="13" t="str">
        <x:v>Adds a separate coherent criminal campaign inside the systemic-finance perimeter. It should not be merged into the Iran attribution line.</x:v>
      </x:c>
      <x:c r="N3" s="13" t="str">
        <x:v>https://www.reuters.com/world/hackers-targeted-us-private-equity-other-firms-including-blackstone-cme-data-2026-08-06/ | https://cloud.google.com/blog/topics/threat-intelligence/blackfile-vishing-extortion-operation/</x:v>
      </x:c>
      <x:c r="O3" s="12" t="n">
        <x:v>46243</x:v>
      </x:c>
    </x:row>
  </x:sheetData>
  <x:pageMargins left="0.7" right="0.7" top="0.75" bottom="0.75" header="0.3" footer="0.3"/>
  <x:tableParts count="1">
    <x:tablePart xmlns:r="http://schemas.openxmlformats.org/officeDocument/2006/relationships" r:id="Raeac6f4cde7e403a"/>
  </x:tableParts>
</x:worksheet>
</file>

<file path=xl/worksheets/sheet4.xml><?xml version="1.0" encoding="utf-8"?>
<x:worksheet xmlns:x="http://schemas.openxmlformats.org/spreadsheetml/2006/main">
  <x:sheetFormatPr defaultRowHeight="15"/>
  <x:cols>
    <x:col min="1" max="1" width="24" hidden="0" customWidth="1"/>
    <x:col min="2" max="2" width="90" hidden="0" customWidth="1"/>
  </x:cols>
  <x:sheetData>
    <x:row r="1">
      <x:c r="A1" s="6" t="str">
        <x:v>Method</x:v>
      </x:c>
      <x:c r="B1" s="6" t="str">
        <x:v>Description</x:v>
      </x:c>
    </x:row>
    <x:row r="2">
      <x:c r="A2" s="13" t="str">
        <x:v>Purpose</x:v>
      </x:c>
      <x:c r="B2" s="13" t="str">
        <x:v>Track publicly reported cyber incidents affecting essential state infrastructure in countries Iran may regard as participants or supporters in the war, without treating inclusion as attribution.</x:v>
      </x:c>
    </x:row>
    <x:row r="3">
      <x:c r="A3" s="13" t="str">
        <x:v>Included sectors</x:v>
      </x:c>
      <x:c r="B3" s="13" t="str">
        <x:v>Government administration, defence, healthcare and medical supply, education, energy, water, transport, telecommunications, policing/justice infrastructure, and systemically important banking/financial-market infrastructure.</x:v>
      </x:c>
    </x:row>
    <x:row r="4">
      <x:c r="A4" s="13" t="str">
        <x:v>Traffic lights</x:v>
      </x:c>
      <x:c r="B4" s="13" t="str">
        <x:v>🟢 established/confirmed; 🟡 probable; 🟠 suspected/developing; ⚪ open/unattributed; ❌ excluded. The light belongs to the proposition, not the whole incident.</x:v>
      </x:c>
    </x:row>
    <x:row r="5">
      <x:c r="A5" s="13" t="str">
        <x:v>Actor claims</x:v>
      </x:c>
      <x:c r="B5" s="13" t="str">
        <x:v>📣 Actor-claimed is a modifier, not a confidence level. A claim can coexist with open, suspected, probable or confirmed attribution.</x:v>
      </x:c>
    </x:row>
    <x:row r="6">
      <x:c r="A6" s="13" t="str">
        <x:v>Pattern scale</x:v>
      </x:c>
      <x:c r="B6" s="13" t="str">
        <x:v>⚪ isolated; 🟡 possible recurrence; 🟠 credible cluster; 🔴 established campaign pattern. Pattern status is separate from sponsor confidence.</x:v>
      </x:c>
    </x:row>
    <x:row r="7">
      <x:c r="A7" s="13" t="str">
        <x:v>Attribution stack</x:v>
      </x:c>
      <x:c r="B7" s="13" t="str">
        <x:v>Technical operator → tooling/infrastructure → intermediary/access broker → contractor/proxy → buyer/customer → state affiliation → state direction → final beneficiary.</x:v>
      </x:c>
    </x:row>
    <x:row r="8">
      <x:c r="A8" s="13" t="str">
        <x:v>Criminal / state rule</x:v>
      </x:c>
      <x:c r="B8" s="13" t="str">
        <x:v>CRIMINAL OPERATOR ≠ NO STATE CUSTOMER, and CRIMINAL OPERATOR ≠ STATE CUSTOMER. State use, resale or later tasking requires evidence.</x:v>
      </x:c>
    </x:row>
    <x:row r="9">
      <x:c r="A9" s="13" t="str">
        <x:v>Source rule</x:v>
      </x:c>
      <x:c r="B9" s="13" t="str">
        <x:v>Preserve original source, source tier/quality, independent corroboration and common-source dependency. Repetition is not corroboration.</x:v>
      </x:c>
    </x:row>
    <x:row r="10">
      <x:c r="A10" s="13" t="str">
        <x:v>Unknown states</x:v>
      </x:c>
      <x:c r="B10" s="13" t="str">
        <x:v>Use UNKNOWN, NOT PUBLIC, NO EVIDENCE FOUND, WITHHELD / NCND and NOT APPLICABLE distinctly.</x:v>
      </x:c>
    </x:row>
    <x:row r="11">
      <x:c r="A11" s="13" t="str">
        <x:v>OT rule</x:v>
      </x:c>
      <x:c r="B11" s="13" t="str">
        <x:v>Record the deepest supported level of access/effect. Loss of view ≠ loss of control ≠ attacker control. Manual fallback can coexist with operational harm.</x:v>
      </x:c>
    </x:row>
    <x:row r="12">
      <x:c r="A12" s="13" t="str">
        <x:v>Legal rule</x:v>
      </x:c>
      <x:c r="B12" s="13" t="str">
        <x:v>Cyber incident ≠ IHL attack ≠ IHL violation ≠ state responsibility ≠ war crime ≠ individual criminal responsibility.</x:v>
      </x:c>
    </x:row>
    <x:row r="13">
      <x:c r="A13" s="13" t="str">
        <x:v>Review practice</x:v>
      </x:c>
      <x:c r="B13" s="13" t="str">
        <x:v>Preserve attribution history and operational history; allow confidence to move both upward and downward; propagate corrections across CSV/XLSX and linked nodes.</x:v>
      </x:c>
    </x:row>
    <x:row r="14">
      <x:c r="A14" s="13" t="str">
        <x:v>Coverage</x:v>
      </x:c>
      <x:c r="B14" s="13" t="str">
        <x:v>Provisional and non-exhaustive. Public disclosure is uneven, attribution can take months or years, and some incidents will never be publicly described.</x:v>
      </x:c>
    </x:row>
    <x:row r="15">
      <x:c r="A15" s="13" t="str">
        <x:v>Last updated</x:v>
      </x:c>
      <x:c r="B15" s="13" t="str">
        <x:v>2026-08-09</x:v>
      </x:c>
    </x:row>
  </x:sheetData>
  <x:pageMargins left="0.7" right="0.7" top="0.75" bottom="0.75" header="0.3" footer="0.3"/>
</x:worksheet>
</file>