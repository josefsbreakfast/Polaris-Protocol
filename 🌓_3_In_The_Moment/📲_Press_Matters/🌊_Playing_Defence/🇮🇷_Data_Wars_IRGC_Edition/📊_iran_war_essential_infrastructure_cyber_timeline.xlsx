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6e51a05e6ba4f18" /></Relationships>
</file>

<file path=xl/workbook.xml><?xml version="1.0" encoding="utf-8"?>
<x:workbook xmlns:x="http://schemas.openxmlformats.org/spreadsheetml/2006/main">
  <x:sheets>
    <x:sheet xmlns:r="http://schemas.openxmlformats.org/officeDocument/2006/relationships" name="Incident Register" sheetId="1" r:id="Re7801071020242b5"/>
    <x:sheet xmlns:r="http://schemas.openxmlformats.org/officeDocument/2006/relationships" name="Summary" sheetId="2" r:id="R61191884dad94bcc"/>
    <x:sheet xmlns:r="http://schemas.openxmlformats.org/officeDocument/2006/relationships" name="Pattern Watch" sheetId="3" r:id="Rcee225fbf5a34355"/>
    <x:sheet xmlns:r="http://schemas.openxmlformats.org/officeDocument/2006/relationships" name="Method &amp; Scope" sheetId="4" r:id="Rd45b549a99d4483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sz val="9"/>
      <x:color rgb="FF183042"/>
      <x:name val="Carlito"/>
    </x:font>
    <x:font>
      <x:b/>
      <x:sz val="16"/>
      <x:color rgb="FFFFFFFF"/>
      <x:name val="Carlito"/>
    </x:font>
    <x:font>
      <x:b/>
      <x:sz val="11"/>
      <x:color rgb="FF183042"/>
      <x:name val="Carlito"/>
    </x:font>
    <x:font>
      <x:i/>
      <x:sz val="11"/>
      <x:color rgb="FF42360B"/>
      <x:name val="Carlito"/>
    </x:font>
    <x:font>
      <x:b/>
      <x:sz val="11"/>
      <x:color rgb="FFFFFFFF"/>
      <x:name val="Aptos"/>
    </x:font>
    <x:font>
      <x:sz val="9"/>
      <x:color rgb="FF183042"/>
      <x:name val="Aptos"/>
    </x:font>
    <x:font>
      <x:b/>
      <x:sz val="16"/>
      <x:color rgb="FFFFFFFF"/>
      <x:name val="Aptos"/>
    </x:font>
    <x:font>
      <x:sz val="11"/>
      <x:name val="Aptos"/>
    </x:font>
    <x:font>
      <x:b/>
      <x:sz val="11"/>
      <x:color rgb="FF183042"/>
      <x:name val="Aptos"/>
    </x:font>
    <x:font>
      <x:i/>
      <x:sz val="11"/>
      <x:color rgb="FF42360B"/>
      <x:name val="Aptos"/>
    </x:font>
  </x:fonts>
  <x:fills count="6">
    <x:fill>
      <x:patternFill patternType="none"/>
    </x:fill>
    <x:fill>
      <x:patternFill patternType="gray125"/>
    </x:fill>
    <x:fill>
      <x:patternFill patternType="solid">
        <x:fgColor rgb="FF174F73"/>
      </x:patternFill>
    </x:fill>
    <x:fill>
      <x:patternFill patternType="solid">
        <x:fgColor rgb="FFD5EAF4"/>
      </x:patternFill>
    </x:fill>
    <x:fill>
      <x:patternFill patternType="solid">
        <x:fgColor rgb="FFFFF3C7"/>
      </x:patternFill>
    </x:fill>
    <x:fill>
      <x:patternFill patternType="solid">
        <x:fgColor rgb="FFCDE9F5"/>
      </x:patternFill>
    </x:fill>
  </x:fills>
  <x:borders count="10">
    <x:border/>
    <x:border>
      <x:bottom style="thin">
        <x:color rgb="FFD6E4EA"/>
      </x:bottom>
    </x:border>
    <x:border>
      <x:top style="thin">
        <x:color rgb="FFD6E4EA"/>
      </x:top>
      <x:bottom style="thin">
        <x:color rgb="FFD6E4EA"/>
      </x:bottom>
    </x:border>
    <x:border>
      <x:top style="thin">
        <x:color rgb="FFD6E4EA"/>
      </x:top>
      <x:bottom style="thin">
        <x:color rgb="FFAFC5CF"/>
      </x:bottom>
    </x:border>
    <x:border>
      <x:bottom style="thin">
        <x:color rgb="FFDFE8EC"/>
      </x:bottom>
    </x:border>
    <x:border>
      <x:top style="thin">
        <x:color rgb="FFDFE8EC"/>
      </x:top>
      <x:bottom style="thin">
        <x:color rgb="FFDFE8EC"/>
      </x:bottom>
    </x:border>
    <x:border>
      <x:top style="thin">
        <x:color rgb="FFDFE8EC"/>
      </x:top>
    </x:border>
    <x:border>
      <x:bottom style="thin">
        <x:color rgb="FFD8E4EA"/>
      </x:bottom>
    </x:border>
    <x:border>
      <x:top style="thin">
        <x:color rgb="FFD8E4EA"/>
      </x:top>
      <x:bottom style="thin">
        <x:color rgb="FFD8E4EA"/>
      </x:bottom>
    </x:border>
    <x:border>
      <x:top style="thin">
        <x:color rgb="FFD8E4EA"/>
      </x:top>
    </x:border>
  </x:borders>
  <x:cellStyleXfs count="1">
    <x:xf numFmtId="0" fontId="0" fillId="0" borderId="0"/>
  </x:cellStyleXfs>
  <x:cellXfs count="62">
    <x:xf numFmtId="0" fontId="0" fillId="0" borderId="0" xfId="0"/>
    <x:xf numFmtId="20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200" fontId="2" fillId="0" borderId="0" xfId="0" applyNumberFormat="1" applyFont="1" applyFill="1" applyBorder="1"/>
    <x:xf numFmtId="0" fontId="2" fillId="0" borderId="0" xfId="0" applyNumberFormat="1" applyFont="1" applyFill="1" applyBorder="1"/>
    <x:xf numFmtId="200" fontId="2" fillId="0" borderId="0" xfId="0" applyNumberFormat="1" applyFont="1" applyFill="1" applyBorder="1" applyAlignment="1">
      <x:alignment wrapText="1"/>
    </x:xf>
    <x:xf numFmtId="0" fontId="2" fillId="0" borderId="0" xfId="0" applyNumberFormat="1" applyFont="1" applyFill="1" applyBorder="1" applyAlignment="1">
      <x:alignment wrapText="1"/>
    </x:xf>
    <x:xf numFmtId="20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1" xfId="0" applyNumberFormat="1" applyFont="1" applyFill="1" applyBorder="1" applyAlignment="1">
      <x:alignment vertical="center" wrapText="1"/>
    </x:xf>
    <x:xf numFmtId="200" fontId="2" fillId="0" borderId="2"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horizontal="center"/>
    </x:xf>
    <x:xf numFmtId="0" fontId="0" fillId="3" borderId="0" xfId="0" applyNumberFormat="1" applyFont="1" applyFill="1" applyBorder="1"/>
    <x:xf numFmtId="0" fontId="4" fillId="3" borderId="0" xfId="0" applyNumberFormat="1" applyFont="1" applyFill="1" applyBorder="1"/>
    <x:xf numFmtId="0" fontId="4" fillId="3" borderId="4" xfId="0" applyNumberFormat="1" applyFont="1" applyFill="1" applyBorder="1"/>
    <x:xf numFmtId="0" fontId="0" fillId="0" borderId="5" xfId="0" applyNumberFormat="1" applyFont="1" applyFill="1" applyBorder="1"/>
    <x:xf numFmtId="0" fontId="4" fillId="3" borderId="5" xfId="0" applyNumberFormat="1" applyFont="1" applyFill="1" applyBorder="1"/>
    <x:xf numFmtId="0" fontId="0" fillId="0" borderId="6" xfId="0" applyNumberFormat="1" applyFont="1" applyFill="1" applyBorder="1"/>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5" borderId="0" xfId="0" applyNumberFormat="1" applyFont="1" applyFill="1" applyBorder="1"/>
    <x:xf numFmtId="200" fontId="0" fillId="5" borderId="0" xfId="0" applyNumberFormat="1" applyFont="1" applyFill="1" applyBorder="1"/>
    <x:xf numFmtId="0" fontId="2" fillId="5" borderId="0" xfId="0" applyNumberFormat="1" applyFont="1" applyFill="1" applyBorder="1"/>
    <x:xf numFmtId="200" fontId="2" fillId="5" borderId="0" xfId="0" applyNumberFormat="1" applyFont="1" applyFill="1" applyBorder="1"/>
    <x:xf numFmtId="0" fontId="2" fillId="5" borderId="0" xfId="0" applyNumberFormat="1" applyFont="1" applyFill="1" applyBorder="1" applyAlignment="1">
      <x:alignment wrapText="1"/>
    </x:xf>
    <x:xf numFmtId="200" fontId="2" fillId="5" borderId="0" xfId="0" applyNumberFormat="1" applyFont="1" applyFill="1" applyBorder="1" applyAlignment="1">
      <x:alignment wrapText="1"/>
    </x:xf>
    <x:xf numFmtId="0" fontId="2" fillId="5" borderId="0" xfId="0" applyNumberFormat="1" applyFont="1" applyFill="1" applyBorder="1" applyAlignment="1">
      <x:alignment vertical="top" wrapText="1"/>
    </x:xf>
    <x:xf numFmtId="200" fontId="2" fillId="5"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 fillId="2" borderId="7" xfId="0" applyNumberFormat="1" applyFont="1" applyFill="1" applyBorder="1"/>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6" fillId="2" borderId="1" xfId="0" applyNumberFormat="1" applyFont="1" applyFill="1" applyBorder="1" applyAlignment="1">
      <x:alignment vertical="center" wrapText="1"/>
    </x:xf>
    <x:xf numFmtId="200" fontId="7" fillId="0" borderId="2" xfId="0" applyNumberFormat="1" applyFont="1" applyFill="1" applyBorder="1" applyAlignment="1">
      <x:alignment vertical="top" wrapText="1"/>
    </x:xf>
    <x:xf numFmtId="0" fontId="7" fillId="0" borderId="2" xfId="0" applyNumberFormat="1" applyFont="1" applyFill="1" applyBorder="1" applyAlignment="1">
      <x:alignment vertical="top" wrapText="1"/>
    </x:xf>
    <x:xf numFmtId="200" fontId="7" fillId="0" borderId="3" xfId="0" applyNumberFormat="1" applyFont="1" applyFill="1" applyBorder="1" applyAlignment="1">
      <x:alignment vertical="top" wrapText="1"/>
    </x:xf>
    <x:xf numFmtId="0" fontId="7" fillId="0" borderId="3" xfId="0" applyNumberFormat="1" applyFont="1" applyFill="1" applyBorder="1" applyAlignment="1">
      <x:alignment vertical="top" wrapText="1"/>
    </x:xf>
    <x:xf numFmtId="0" fontId="8" fillId="2" borderId="0" xfId="0" applyNumberFormat="1" applyFont="1" applyFill="1" applyBorder="1" applyAlignment="1">
      <x:alignment horizontal="center"/>
    </x:xf>
    <x:xf numFmtId="0" fontId="9" fillId="0" borderId="0" xfId="0" applyNumberFormat="1" applyFont="1" applyFill="1" applyBorder="1"/>
    <x:xf numFmtId="0" fontId="10" fillId="3" borderId="4" xfId="0" applyNumberFormat="1" applyFont="1" applyFill="1" applyBorder="1"/>
    <x:xf numFmtId="0" fontId="9" fillId="0" borderId="5" xfId="0" applyNumberFormat="1" applyFont="1" applyFill="1" applyBorder="1"/>
    <x:xf numFmtId="0" fontId="10" fillId="3" borderId="5" xfId="0" applyNumberFormat="1" applyFont="1" applyFill="1" applyBorder="1"/>
    <x:xf numFmtId="0" fontId="9" fillId="0" borderId="6" xfId="0" applyNumberFormat="1" applyFont="1" applyFill="1" applyBorder="1"/>
    <x:xf numFmtId="0" fontId="11" fillId="4" borderId="0" xfId="0" applyNumberFormat="1" applyFont="1" applyFill="1" applyBorder="1" applyAlignment="1">
      <x:alignment vertical="center" wrapText="1"/>
    </x:xf>
    <x:xf numFmtId="0" fontId="6" fillId="2" borderId="0" xfId="0" applyNumberFormat="1" applyFont="1" applyFill="1" applyBorder="1" applyAlignment="1">
      <x:alignment wrapText="1"/>
    </x:xf>
    <x:xf numFmtId="0" fontId="7" fillId="5" borderId="0" xfId="0" applyNumberFormat="1" applyFont="1" applyFill="1" applyBorder="1" applyAlignment="1">
      <x:alignment vertical="top" wrapText="1"/>
    </x:xf>
    <x:xf numFmtId="200" fontId="7" fillId="5" borderId="0" xfId="0" applyNumberFormat="1" applyFont="1" applyFill="1" applyBorder="1" applyAlignment="1">
      <x:alignment vertical="top" wrapText="1"/>
    </x:xf>
    <x:xf numFmtId="0" fontId="6" fillId="2" borderId="7" xfId="0" applyNumberFormat="1" applyFont="1" applyFill="1" applyBorder="1"/>
    <x:xf numFmtId="0" fontId="9" fillId="0" borderId="8" xfId="0" applyNumberFormat="1" applyFont="1" applyFill="1" applyBorder="1" applyAlignment="1">
      <x:alignment vertical="top" wrapText="1"/>
    </x:xf>
    <x:xf numFmtId="0" fontId="9" fillId="0" borderId="9" xfId="0" applyNumberFormat="1" applyFont="1" applyFill="1" applyBorder="1" applyAlignment="1">
      <x:alignment vertical="top" wrapText="1"/>
    </x:xf>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cellXfs>
  <x:cellStyles count="1">
    <x:cellStyle name="Normal" xfId="0"/>
  </x:cellStyles>
  <x:dxfs count="1">
    <x:dxf>
      <x:fill>
        <x:patternFill>
          <x:bgColor rgb="FFEAF5F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0fb73c392284afd" /><Relationship Type="http://schemas.openxmlformats.org/officeDocument/2006/relationships/theme" Target="/xl/theme/theme1.xml" Id="R4bf9af849ea74de6" /><Relationship Type="http://schemas.openxmlformats.org/officeDocument/2006/relationships/sharedStrings" Target="/xl/sharedStrings.xml" Id="R99e67028d21c463c" /><Relationship Type="http://schemas.openxmlformats.org/officeDocument/2006/relationships/worksheet" Target="/xl/worksheets/sheet1.xml" Id="Re7801071020242b5" /><Relationship Type="http://schemas.openxmlformats.org/officeDocument/2006/relationships/worksheet" Target="/xl/worksheets/sheet2.xml" Id="R61191884dad94bcc" /><Relationship Type="http://schemas.openxmlformats.org/officeDocument/2006/relationships/worksheet" Target="/xl/worksheets/sheet3.xml" Id="Rcee225fbf5a34355" /><Relationship Type="http://schemas.openxmlformats.org/officeDocument/2006/relationships/worksheet" Target="/xl/worksheets/sheet4.xml" Id="Rd45b549a99d4483c" /><Relationship Type="http://schemas.microsoft.com/office/2017/10/relationships/person" Target="/xl/persons/person.xml" Id="R442a15c5c3514901" /></Relationships>
</file>

<file path=xl/drawings/_rels/drawing1.xml.rels>&#65279;<?xml version="1.0" encoding="utf-8"?><Relationships xmlns="http://schemas.openxmlformats.org/package/2006/relationships"><Relationship Type="http://schemas.openxmlformats.org/officeDocument/2006/relationships/chart" Target="/xl/drawings/charts/chart1.xml" Id="Rb75cdc3a8662463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by sector family</a:t>
            </a:r>
          </a:p>
        </c:rich>
      </c:tx>
      <c:overlay val="0"/>
    </c:title>
    <c:plotArea>
      <c:barChart>
        <c:barDir val="col"/>
        <c:varyColors val="0"/>
        <c:ser>
          <c:idx val="0"/>
          <c:order val="0"/>
          <c:tx>
            <c:v>Count</c:v>
          </c:tx>
          <c:cat>
            <c:strRef>
              <c:f>'Summary'!$A$13:$A$19</c:f>
              <c:strCache>
                <c:ptCount val="0"/>
              </c:strCache>
            </c:strRef>
          </c:cat>
          <c:val>
            <c:numRef>
              <c:f>'Summary'!$B$13:$B$19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2</xdr:row>
      <xdr:rowOff>0</xdr:rowOff>
    </xdr:from>
    <xdr:to>
      <xdr:col>11</xdr:col>
      <xdr:colOff>0</xdr:colOff>
      <xdr:row>19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5cdc3a86624634"/>
        </a:graphicData>
      </a:graphic>
    </xdr:graphicFrame>
    <xdr:clientData/>
  </xdr:twoCellAnchor>
</xdr:wsDr>
</file>

<file path=xl/persons/person.xml><?xml version="1.0" encoding="utf-8"?>
<xltc:personList xmlns:xltc="http://schemas.microsoft.com/office/spreadsheetml/2018/threadedcomments">
  <xltc:person displayName="User" id="{490EFBE3-0893-4D54-99F3-BB969507317D}"/>
</xltc:personList>
</file>

<file path=xl/tables/table1.xml><?xml version="1.0" encoding="utf-8"?>
<x:table xmlns:x="http://schemas.openxmlformats.org/spreadsheetml/2006/main" id="1" name="IncidentRegisterTable" displayName="IncidentRegisterTable" ref="A1:AN32" headerRowCount="1" totalsRowCount="0" totalsRowShown="0">
  <x:tableColumns count="40">
    <x:tableColumn id="1" name="Date"/>
    <x:tableColumn id="2" name="Record Type"/>
    <x:tableColumn id="3" name="Routing Status"/>
    <x:tableColumn id="4" name="Country / Region"/>
    <x:tableColumn id="5" name="Sector"/>
    <x:tableColumn id="6" name="Sector Family"/>
    <x:tableColumn id="7" name="Affected Body"/>
    <x:tableColumn id="8" name="What Happened"/>
    <x:tableColumn id="9" name="System Layer"/>
    <x:tableColumn id="10" name="Operational Effect"/>
    <x:tableColumn id="11" name="Physical / Data Effect"/>
    <x:tableColumn id="12" name="Claim Status"/>
    <x:tableColumn id="13" name="Claimed Actor"/>
    <x:tableColumn id="14" name="Technical Operator / Group"/>
    <x:tableColumn id="15" name="State Relationship"/>
    <x:tableColumn id="16" name="Public Government Attribution"/>
    <x:tableColumn id="17" name="Incident Traffic Light"/>
    <x:tableColumn id="18" name="Effect Traffic Light"/>
    <x:tableColumn id="19" name="Attribution Traffic Light"/>
    <x:tableColumn id="20" name="Relationship Confidence"/>
    <x:tableColumn id="21" name="Pattern Status"/>
    <x:tableColumn id="22" name="Iran-War Relevance"/>
    <x:tableColumn id="23" name="Iran Attribution"/>
    <x:tableColumn id="24" name="Iran Attribution Class"/>
    <x:tableColumn id="25" name="Rival Explanations"/>
    <x:tableColumn id="26" name="Severity / Significance"/>
    <x:tableColumn id="27" name="Negative Findings"/>
    <x:tableColumn id="28" name="Sources"/>
    <x:tableColumn id="29" name="Source Tier"/>
    <x:tableColumn id="30" name="Last Reviewed"/>
    <x:tableColumn id="31" name="Correction Status"/>
    <x:tableColumn id="32" name="Attribution History"/>
    <x:tableColumn id="33" name="Iran Attribution Bucket"/>
    <x:tableColumn id="34" name="Manual Fallback"/>
    <x:tableColumn id="35" name="Organising Mechanism"/>
    <x:tableColumn id="36" name="Common Operator Confidence"/>
    <x:tableColumn id="37" name="Strategic Campaign Confidence"/>
    <x:tableColumn id="38" name="IHL / Protected-Object Relevance"/>
    <x:tableColumn id="39" name="Stakeholder Effect"/>
    <x:tableColumn id="40" name="Source Provenance / Independence"/>
  </x:tableColumns>
  <x:tableStyleInfo name="TableStyleMedium2" showFirstColumn="0" showLastColumn="0" showRowStripes="1" showColumnStripes="0"/>
</x:table>
</file>

<file path=xl/tables/table2.xml><?xml version="1.0" encoding="utf-8"?>
<x:table xmlns:x="http://schemas.openxmlformats.org/spreadsheetml/2006/main" id="2" name="PatternWatchTable" displayName="PatternWatchTable" ref="A1:O8" headerRowCount="1" totalsRowCount="0" totalsRowShown="0">
  <x:tableColumns count="15">
    <x:tableColumn id="1" name="Campaign / Cluster"/>
    <x:tableColumn id="2" name="First Observed"/>
    <x:tableColumn id="3" name="Latest Observed"/>
    <x:tableColumn id="4" name="Countries / Region"/>
    <x:tableColumn id="5" name="Sectors"/>
    <x:tableColumn id="6" name="Pattern Status"/>
    <x:tableColumn id="7" name="Common Operator Confidence"/>
    <x:tableColumn id="8" name="Common Sponsor Confidence"/>
    <x:tableColumn id="9" name="Iranian Link"/>
    <x:tableColumn id="10" name="Operational Development"/>
    <x:tableColumn id="11" name="Attribution Development"/>
    <x:tableColumn id="12" name="Rival Explanations"/>
    <x:tableColumn id="13" name="Trend Change Since 28 Feb"/>
    <x:tableColumn id="14" name="Sources"/>
    <x:tableColumn id="15" name="Last Reviewed"/>
  </x:tableColumns>
  <x:tableStyleInfo name="TableStyleMedium2" showFirstColumn="0" showLastColumn="0" showRowStripes="1" showColumnStripes="0"/>
</x:table>
</file>

<file path=xl/tables/table3.xml><?xml version="1.0" encoding="utf-8"?>
<x:table xmlns:x="http://schemas.openxmlformats.org/spreadsheetml/2006/main" id="3" name="MethodScopeTable" displayName="MethodScopeTable" ref="A1:B17" headerRowCount="1" totalsRowCount="0" totalsRowShown="0">
  <x:tableColumns count="2">
    <x:tableColumn id="1" name="Method"/>
    <x:tableColumn id="2" name="Descrip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776ebedf8e2453e" /></Relationships>
</file>

<file path=xl/worksheets/_rels/sheet2.xml.rels>&#65279;<?xml version="1.0" encoding="utf-8"?><Relationships xmlns="http://schemas.openxmlformats.org/package/2006/relationships"><Relationship Type="http://schemas.openxmlformats.org/officeDocument/2006/relationships/drawing" Target="/xl/drawings/drawing1.xml" Id="R38091e8f00bf4d4a" /></Relationships>
</file>

<file path=xl/worksheets/_rels/sheet3.xml.rels>&#65279;<?xml version="1.0" encoding="utf-8"?><Relationships xmlns="http://schemas.openxmlformats.org/package/2006/relationships"><Relationship Type="http://schemas.openxmlformats.org/officeDocument/2006/relationships/table" Target="/xl/tables/table2.xml" Id="Rb0299a4c96af4f65" /></Relationships>
</file>

<file path=xl/worksheets/_rels/sheet4.xml.rels>&#65279;<?xml version="1.0" encoding="utf-8"?><Relationships xmlns="http://schemas.openxmlformats.org/package/2006/relationships"><Relationship Type="http://schemas.openxmlformats.org/officeDocument/2006/relationships/table" Target="/xl/tables/table3.xml" Id="Re17e8affa0b14d7e"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16" hidden="0" customWidth="1"/>
    <x:col min="4" max="4" width="18" hidden="0" customWidth="1"/>
    <x:col min="5" max="5" width="12" hidden="0" customWidth="1"/>
    <x:col min="6" max="6" width="15" hidden="0" customWidth="1"/>
    <x:col min="7" max="7" width="15" hidden="0" customWidth="1"/>
    <x:col min="8" max="8" width="34" hidden="0" customWidth="1"/>
    <x:col min="9" max="9" width="14" hidden="0" customWidth="1"/>
    <x:col min="10" max="10" width="34" hidden="0" customWidth="1"/>
    <x:col min="11" max="11" width="34" hidden="0" customWidth="1"/>
    <x:col min="12" max="12" width="14" hidden="0" customWidth="1"/>
    <x:col min="13" max="13" width="15" hidden="0" customWidth="1"/>
    <x:col min="14" max="14" width="24" hidden="0" customWidth="1"/>
    <x:col min="15" max="15" width="20" hidden="0" customWidth="1"/>
    <x:col min="16" max="16" width="24" hidden="0" customWidth="1"/>
    <x:col min="17" max="17" width="24" hidden="0" customWidth="1"/>
    <x:col min="18" max="18" width="34" hidden="0" customWidth="1"/>
    <x:col min="19" max="19" width="24" hidden="0" customWidth="1"/>
    <x:col min="20" max="20" width="24" hidden="0" customWidth="1"/>
    <x:col min="21" max="21" width="16" hidden="0" customWidth="1"/>
    <x:col min="22" max="22" width="34" hidden="0" customWidth="1"/>
    <x:col min="23" max="23" width="18" hidden="0" customWidth="1"/>
    <x:col min="24" max="24" width="24" hidden="0" customWidth="1"/>
    <x:col min="25" max="25" width="34" hidden="0" customWidth="1"/>
    <x:col min="26" max="26" width="34" hidden="0" customWidth="1"/>
    <x:col min="27" max="27" width="19" hidden="0" customWidth="1"/>
    <x:col min="28" max="28" width="34" hidden="0" customWidth="1"/>
    <x:col min="29" max="29" width="13" hidden="0" customWidth="1"/>
    <x:col min="30" max="30" width="15" hidden="0" customWidth="1"/>
    <x:col min="31" max="31" width="19" hidden="0" customWidth="1"/>
    <x:col min="32" max="32" width="34" hidden="0" customWidth="1"/>
    <x:col min="33" max="33" width="24" hidden="0" customWidth="1"/>
    <x:col min="34" max="34" width="17" hidden="0" customWidth="1"/>
    <x:col min="35" max="35" width="22" hidden="0" customWidth="1"/>
    <x:col min="36" max="36" width="24" hidden="0" customWidth="1"/>
    <x:col min="37" max="37" width="24" hidden="0" customWidth="1"/>
    <x:col min="38" max="38" width="34" hidden="0" customWidth="1"/>
    <x:col min="39" max="39" width="34" hidden="0" customWidth="1"/>
    <x:col min="40" max="40" width="34" hidden="0" customWidth="1"/>
  </x:cols>
  <x:sheetData>
    <x:row r="1" ht="15" hidden="0" customHeight="1">
      <x:c r="A1" s="42" t="str">
        <x:v>Date</x:v>
      </x:c>
      <x:c r="B1" s="42" t="str">
        <x:v>Record Type</x:v>
      </x:c>
      <x:c r="C1" s="42" t="str">
        <x:v>Routing Status</x:v>
      </x:c>
      <x:c r="D1" s="42" t="str">
        <x:v>Country / Region</x:v>
      </x:c>
      <x:c r="E1" s="42" t="str">
        <x:v>Sector</x:v>
      </x:c>
      <x:c r="F1" s="42" t="str">
        <x:v>Sector Family</x:v>
      </x:c>
      <x:c r="G1" s="42" t="str">
        <x:v>Affected Body</x:v>
      </x:c>
      <x:c r="H1" s="42" t="str">
        <x:v>What Happened</x:v>
      </x:c>
      <x:c r="I1" s="42" t="str">
        <x:v>System Layer</x:v>
      </x:c>
      <x:c r="J1" s="42" t="str">
        <x:v>Operational Effect</x:v>
      </x:c>
      <x:c r="K1" s="42" t="str">
        <x:v>Physical / Data Effect</x:v>
      </x:c>
      <x:c r="L1" s="42" t="str">
        <x:v>Claim Status</x:v>
      </x:c>
      <x:c r="M1" s="42" t="str">
        <x:v>Claimed Actor</x:v>
      </x:c>
      <x:c r="N1" s="42" t="str">
        <x:v>Technical Operator / Group</x:v>
      </x:c>
      <x:c r="O1" s="42" t="str">
        <x:v>State Relationship</x:v>
      </x:c>
      <x:c r="P1" s="42" t="str">
        <x:v>Public Government Attribution</x:v>
      </x:c>
      <x:c r="Q1" s="42" t="str">
        <x:v>Incident Traffic Light</x:v>
      </x:c>
      <x:c r="R1" s="42" t="str">
        <x:v>Effect Traffic Light</x:v>
      </x:c>
      <x:c r="S1" s="42" t="str">
        <x:v>Attribution Traffic Light</x:v>
      </x:c>
      <x:c r="T1" s="42" t="str">
        <x:v>Relationship Confidence</x:v>
      </x:c>
      <x:c r="U1" s="42" t="str">
        <x:v>Pattern Status</x:v>
      </x:c>
      <x:c r="V1" s="42" t="str">
        <x:v>Iran-War Relevance</x:v>
      </x:c>
      <x:c r="W1" s="42" t="str">
        <x:v>Iran Attribution</x:v>
      </x:c>
      <x:c r="X1" s="42" t="str">
        <x:v>Iran Attribution Class</x:v>
      </x:c>
      <x:c r="Y1" s="42" t="str">
        <x:v>Rival Explanations</x:v>
      </x:c>
      <x:c r="Z1" s="42" t="str">
        <x:v>Severity / Significance</x:v>
      </x:c>
      <x:c r="AA1" s="42" t="str">
        <x:v>Negative Findings</x:v>
      </x:c>
      <x:c r="AB1" s="42" t="str">
        <x:v>Sources</x:v>
      </x:c>
      <x:c r="AC1" s="42" t="str">
        <x:v>Source Tier</x:v>
      </x:c>
      <x:c r="AD1" s="42" t="str">
        <x:v>Last Reviewed</x:v>
      </x:c>
      <x:c r="AE1" s="42" t="str">
        <x:v>Correction Status</x:v>
      </x:c>
      <x:c r="AF1" s="42" t="str">
        <x:v>Attribution History</x:v>
      </x:c>
      <x:c r="AG1" s="42" t="str">
        <x:v>Iran Attribution Bucket</x:v>
      </x:c>
      <x:c r="AH1" s="42" t="str">
        <x:v>Manual Fallback</x:v>
      </x:c>
      <x:c r="AI1" s="42" t="str">
        <x:v>Organising Mechanism</x:v>
      </x:c>
      <x:c r="AJ1" s="42" t="str">
        <x:v>Common Operator Confidence</x:v>
      </x:c>
      <x:c r="AK1" s="42" t="str">
        <x:v>Strategic Campaign Confidence</x:v>
      </x:c>
      <x:c r="AL1" s="42" t="str">
        <x:v>IHL / Protected-Object Relevance</x:v>
      </x:c>
      <x:c r="AM1" s="42" t="str">
        <x:v>Stakeholder Effect</x:v>
      </x:c>
      <x:c r="AN1" s="42" t="str">
        <x:v>Source Provenance / Independence</x:v>
      </x:c>
    </x:row>
    <x:row r="2" ht="15" hidden="0" customHeight="1">
      <x:c r="A2" s="43" t="n">
        <x:v>46081</x:v>
      </x:c>
      <x:c r="B2" s="44" t="str">
        <x:v>Context baseline</x:v>
      </x:c>
      <x:c r="C2" s="44" t="str">
        <x:v>Context</x:v>
      </x:c>
      <x:c r="D2" s="44" t="str">
        <x:v>United States / Israel / Iran</x:v>
      </x:c>
      <x:c r="E2" s="44" t="str">
        <x:v>War context</x:v>
      </x:c>
      <x:c r="F2" s="44" t="str">
        <x:v>Cross-sector / other</x:v>
      </x:c>
      <x:c r="G2" s="44" t="str">
        <x:v>—</x:v>
      </x:c>
      <x:c r="H2" s="44" t="str">
        <x:v>War baseline used by this pack: start of the US–Israeli military campaign against Iran; comparison point for subsequent cyber activity.</x:v>
      </x:c>
      <x:c r="I2" s="44" t="str">
        <x:v>N/A</x:v>
      </x:c>
      <x:c r="J2" s="44" t="str">
        <x:v>N/A</x:v>
      </x:c>
      <x:c r="K2" s="44" t="str">
        <x:v>N/A</x:v>
      </x:c>
      <x:c r="L2" s="44" t="str">
        <x:v>N/A</x:v>
      </x:c>
      <x:c r="M2" s="44" t="str">
        <x:v>N/A</x:v>
      </x:c>
      <x:c r="N2" s="44" t="str">
        <x:v>N/A</x:v>
      </x:c>
      <x:c r="O2" s="44" t="str">
        <x:v>N/A</x:v>
      </x:c>
      <x:c r="P2" s="44" t="str">
        <x:v>N/A</x:v>
      </x:c>
      <x:c r="Q2" s="44" t="str">
        <x:v>N/A</x:v>
      </x:c>
      <x:c r="R2" s="44" t="str">
        <x:v>N/A</x:v>
      </x:c>
      <x:c r="S2" s="44" t="str">
        <x:v>N/A</x:v>
      </x:c>
      <x:c r="T2" s="44" t="str">
        <x:v>N/A</x:v>
      </x:c>
      <x:c r="U2" s="44" t="str">
        <x:v>N/A</x:v>
      </x:c>
      <x:c r="V2" s="44" t="str">
        <x:v>Direct baseline</x:v>
      </x:c>
      <x:c r="W2" s="44" t="str">
        <x:v>N/A</x:v>
      </x:c>
      <x:c r="X2" s="44" t="str">
        <x:v>N/A</x:v>
      </x:c>
      <x:c r="Y2" s="44" t="str">
        <x:v>N/A</x:v>
      </x:c>
      <x:c r="Z2" s="44" t="str">
        <x:v>Context only</x:v>
      </x:c>
      <x:c r="AA2" s="44" t="str">
        <x:v>N/A</x:v>
      </x:c>
      <x:c r="AB2" s="44" t="str"/>
      <x:c r="AC2" s="44" t="str">
        <x:v>Context row</x:v>
      </x:c>
      <x:c r="AD2" s="44" t="str">
        <x:v>2026-08-09</x:v>
      </x:c>
      <x:c r="AE2" s="44" t="str">
        <x:v>Current</x:v>
      </x:c>
      <x:c r="AF2" s="44" t="str">
        <x:v>N/A</x:v>
      </x:c>
      <x:c r="AG2" s="44" t="str">
        <x:v>N/A</x:v>
      </x:c>
      <x:c r="AH2" s="44" t="str">
        <x:v>Not reported / not applicable.</x:v>
      </x:c>
      <x:c r="AI2" s="44" t="str">
        <x:v>Threat / attribution environment</x:v>
      </x:c>
      <x:c r="AJ2" s="44" t="str">
        <x:v>⚪ Open / not established.</x:v>
      </x:c>
      <x:c r="AK2" s="44" t="str">
        <x:v>⚪ Open; inclusion and recurrence do not establish one strategic campaign.</x:v>
      </x:c>
      <x:c r="AL2" s="44" t="str">
        <x:v>No automatic IHL conclusion from sector or wartime timing.</x:v>
      </x:c>
      <x:c r="AM2" s="44" t="str">
        <x:v>—: N/A</x:v>
      </x:c>
      <x:c r="AN2" s="44" t="str">
        <x:v>Named-source reference requires URL normalisation at next review.</x:v>
      </x:c>
    </x:row>
    <x:row r="3" ht="15" hidden="0" customHeight="1">
      <x:c r="A3" s="43" t="n">
        <x:v>46083</x:v>
      </x:c>
      <x:c r="B3" s="44" t="str">
        <x:v>Threat assessment</x:v>
      </x:c>
      <x:c r="C3" s="44" t="str">
        <x:v>Context</x:v>
      </x:c>
      <x:c r="D3" s="44" t="str">
        <x:v>United Kingdom / Cyprus &amp; SBAs</x:v>
      </x:c>
      <x:c r="E3" s="44" t="str">
        <x:v>Cross-sector critical infrastructure</x:v>
      </x:c>
      <x:c r="F3" s="44" t="str">
        <x:v>Cross-sector / other</x:v>
      </x:c>
      <x:c r="G3" s="44" t="str">
        <x:v>UK organisations / critical infrastructure</x:v>
      </x:c>
      <x:c r="H3" s="44" t="str">
        <x:v>NCSC advised organisations to review cyber posture after Middle East escalation; it assessed no significant immediate change in the direct Iranian cyber threat to the UK but heightened indirect risk for organisations with Middle East exposure and possible collateral activity by Iran-linked hacktivists.</x:v>
      </x:c>
      <x:c r="I3" s="44" t="str">
        <x:v>Threat posture / preparedness</x:v>
      </x:c>
      <x:c r="J3" s="44" t="str">
        <x:v>No specific infrastructure disruption recorded in this row.</x:v>
      </x:c>
      <x:c r="K3" s="44" t="str">
        <x:v>None reported; advisory rather than incident.</x:v>
      </x:c>
      <x:c r="L3" s="44" t="str">
        <x:v>Official assessment</x:v>
      </x:c>
      <x:c r="M3" s="44" t="str">
        <x:v>N/A</x:v>
      </x:c>
      <x:c r="N3" s="44" t="str">
        <x:v>N/A</x:v>
      </x:c>
      <x:c r="O3" s="44" t="str">
        <x:v>Iran-linked hacktivist risk discussed; no incident attribution.</x:v>
      </x:c>
      <x:c r="P3" s="44" t="str">
        <x:v>No incident attribution.</x:v>
      </x:c>
      <x:c r="Q3" s="44" t="str">
        <x:v>🟢 Established</x:v>
      </x:c>
      <x:c r="R3" s="44" t="str">
        <x:v>N/A</x:v>
      </x:c>
      <x:c r="S3" s="44" t="str">
        <x:v>⚪ Open</x:v>
      </x:c>
      <x:c r="T3" s="44" t="str">
        <x:v>N/A</x:v>
      </x:c>
      <x:c r="U3" s="44" t="str">
        <x:v>⚪ Context / isolated</x:v>
      </x:c>
      <x:c r="V3" s="44" t="str">
        <x:v>High — early-war UK threat posture marker</x:v>
      </x:c>
      <x:c r="W3" s="44" t="str">
        <x:v>No incident attribution</x:v>
      </x:c>
      <x:c r="X3" s="44" t="str">
        <x:v>Open</x:v>
      </x:c>
      <x:c r="Y3" s="44" t="str">
        <x:v>N/A</x:v>
      </x:c>
      <x:c r="Z3" s="44" t="str">
        <x:v>Preparedness marker</x:v>
      </x:c>
      <x:c r="AA3" s="44" t="str">
        <x:v>NCSC said no significant immediate change in the direct Iranian threat to the UK.</x:v>
      </x:c>
      <x:c r="AB3" s="44" t="str">
        <x:v>https://www.ncsc.gov.uk/news/ncsc-advises-uk-organisations-take-action-following-conflict-in-middle-east</x:v>
      </x:c>
      <x:c r="AC3" s="44" t="str">
        <x:v>Tier 1 — official</x:v>
      </x:c>
      <x:c r="AD3" s="44" t="str">
        <x:v>2026-08-09</x:v>
      </x:c>
      <x:c r="AE3" s="44" t="str">
        <x:v>Current</x:v>
      </x:c>
      <x:c r="AF3" s="44" t="str">
        <x:v>No incident attribution.</x:v>
      </x:c>
      <x:c r="AG3" s="44" t="str">
        <x:v>Other / established</x:v>
      </x:c>
      <x:c r="AH3" s="44" t="str">
        <x:v>Not reported / not applicable.</x:v>
      </x:c>
      <x:c r="AI3" s="44" t="str">
        <x:v>Threat / attribution environment</x:v>
      </x:c>
      <x:c r="AJ3" s="44" t="str">
        <x:v>⚪ Open / not established.</x:v>
      </x:c>
      <x:c r="AK3" s="44" t="str">
        <x:v>⚪ Open; inclusion and recurrence do not establish one strategic campaign.</x:v>
      </x:c>
      <x:c r="AL3" s="44" t="str">
        <x:v>No automatic IHL conclusion from sector or wartime timing.</x:v>
      </x:c>
      <x:c r="AM3" s="44" t="str">
        <x:v>UK organisations / critical infrastructure: No specific infrastructure disruption recorded in this row.</x:v>
      </x:c>
      <x:c r="AN3" s="44" t="str">
        <x:v>Source functions recorded in Sources and Source Tier; repeated coverage is not treated as independent corroboration.</x:v>
      </x:c>
    </x:row>
    <x:row r="4" ht="15" hidden="0" customHeight="1">
      <x:c r="A4" s="43" t="n">
        <x:v>46091</x:v>
      </x:c>
      <x:c r="B4" s="44" t="str">
        <x:v>Campaign reporting</x:v>
      </x:c>
      <x:c r="C4" s="44" t="str">
        <x:v>Core</x:v>
      </x:c>
      <x:c r="D4" s="44" t="str">
        <x:v>Israel</x:v>
      </x:c>
      <x:c r="E4" s="44" t="str">
        <x:v>Healthcare; government; defence; telecommunications</x:v>
      </x:c>
      <x:c r="F4" s="44" t="str">
        <x:v>Healthcare / medical supply</x:v>
      </x:c>
      <x:c r="G4" s="44" t="str">
        <x:v>Multiple Israeli organisations</x:v>
      </x:c>
      <x:c r="H4" s="44" t="str">
        <x:v>Open-source reporting described Iran-linked actors using criminal tooling against Israeli hospitals and organisations in government, defence and telecommunications.</x:v>
      </x:c>
      <x:c r="I4" s="44" t="str">
        <x:v>Mixed enterprise IT / data systems</x:v>
      </x:c>
      <x:c r="J4" s="44" t="str">
        <x:v>Multi-sector malicious activity reported; individual operational effects vary and require incident-level sourcing.</x:v>
      </x:c>
      <x:c r="K4" s="44" t="str">
        <x:v>Not uniformly specified in the source summary.</x:v>
      </x:c>
      <x:c r="L4" s="44" t="str">
        <x:v>Reported campaign</x:v>
      </x:c>
      <x:c r="M4" s="44" t="str">
        <x:v>Multiple / not normalised</x:v>
      </x:c>
      <x:c r="N4" s="44" t="str">
        <x:v>Iran-linked actors (campaign-level reporting)</x:v>
      </x:c>
      <x:c r="O4" s="44" t="str">
        <x:v>Iran-linked; individual state direction unresolved.</x:v>
      </x:c>
      <x:c r="P4" s="44" t="str">
        <x:v>Not established for each incident in this row.</x:v>
      </x:c>
      <x:c r="Q4" s="44" t="str">
        <x:v>🟡 Probable</x:v>
      </x:c>
      <x:c r="R4" s="44" t="str">
        <x:v>🟠 Developing</x:v>
      </x:c>
      <x:c r="S4" s="44" t="str">
        <x:v>🟡 Probable</x:v>
      </x:c>
      <x:c r="T4" s="44" t="str">
        <x:v>🟡 Probable at campaign level</x:v>
      </x:c>
      <x:c r="U4" s="44" t="str">
        <x:v>🟡 Possible recurrence</x:v>
      </x:c>
      <x:c r="V4" s="44" t="str">
        <x:v>High — Israel is a direct belligerent</x:v>
      </x:c>
      <x:c r="W4" s="44" t="str">
        <x:v>Campaign-level Iran-linked reporting; incident-level attribution varies</x:v>
      </x:c>
      <x:c r="X4" s="44" t="str">
        <x:v>Probable</x:v>
      </x:c>
      <x:c r="Y4" s="44" t="str">
        <x:v>Some activity may be criminal, proxy or opportunistic rather than uniformly state-directed.</x:v>
      </x:c>
      <x:c r="Z4" s="44" t="str">
        <x:v>Cross-sector targeting</x:v>
      </x:c>
      <x:c r="AA4" s="44" t="str">
        <x:v>No single common state-direction finding established for all incidents.</x:v>
      </x:c>
      <x:c r="AB4" s="44" t="str">
        <x:v>https://cert.europa.eu/publications/threat-intelligence/cb26-04</x:v>
      </x:c>
      <x:c r="AC4" s="44" t="str">
        <x:v>Tier 1/2 — CERT-EU synthesis</x:v>
      </x:c>
      <x:c r="AD4" s="44" t="str">
        <x:v>2026-08-09</x:v>
      </x:c>
      <x:c r="AE4" s="44" t="str">
        <x:v>Current</x:v>
      </x:c>
      <x:c r="AF4" s="44" t="str">
        <x:v>Retains campaign-level wording; do not inherit attribution across every incident.</x:v>
      </x:c>
      <x:c r="AG4" s="44" t="str">
        <x:v>Other / established</x:v>
      </x:c>
      <x:c r="AH4" s="44" t="str">
        <x:v>Not reported / not applicable.</x:v>
      </x:c>
      <x:c r="AI4" s="44" t="str">
        <x:v>Malware / destructive or extortion ecosystem</x:v>
      </x:c>
      <x:c r="AJ4" s="44" t="str">
        <x:v>⚪ Open / not established.</x:v>
      </x:c>
      <x:c r="AK4" s="44" t="str">
        <x:v>⚪ Open; inclusion and recurrence do not establish one strategic campaign.</x:v>
      </x:c>
      <x:c r="AL4" s="44" t="str">
        <x:v>Civilian / protected-function relevance; legal character and military-objective status require incident-specific analysis.</x:v>
      </x:c>
      <x:c r="AM4" s="44" t="str">
        <x:v>Multiple Israeli organisations: Multi-sector malicious activity reported; individual operational effects vary and require incident-level sourcing.</x:v>
      </x:c>
      <x:c r="AN4" s="44" t="str">
        <x:v>Source functions recorded in Sources and Source Tier; repeated coverage is not treated as independent corroboration.</x:v>
      </x:c>
    </x:row>
    <x:row r="5" ht="15" hidden="0" customHeight="1">
      <x:c r="A5" s="43" t="n">
        <x:v>46091</x:v>
      </x:c>
      <x:c r="B5" s="44" t="str">
        <x:v>Cyber incident</x:v>
      </x:c>
      <x:c r="C5" s="44" t="str">
        <x:v>Core</x:v>
      </x:c>
      <x:c r="D5" s="44" t="str">
        <x:v>Albania</x:v>
      </x:c>
      <x:c r="E5" s="44" t="str">
        <x:v>Government administration / parliamentary infrastructure</x:v>
      </x:c>
      <x:c r="F5" s="44" t="str">
        <x:v>Government / administration</x:v>
      </x:c>
      <x:c r="G5" s="44" t="str">
        <x:v>Parliament of Albania</x:v>
      </x:c>
      <x:c r="H5" s="44" t="str">
        <x:v>Parliament reported an attempted data-wiping and systems-compromise attack; internal email and staff computer access were disrupted. Homeland Justice claimed responsibility.</x:v>
      </x:c>
      <x:c r="I5" s="44" t="str">
        <x:v>Enterprise IT / administration</x:v>
      </x:c>
      <x:c r="J5" s="44" t="str">
        <x:v>Internal email and staff computer access disrupted.</x:v>
      </x:c>
      <x:c r="K5" s="44" t="str">
        <x:v>Attempted data wiping / systems compromise reported.</x:v>
      </x:c>
      <x:c r="L5" s="44" t="str">
        <x:v>📣 Actor-claimed</x:v>
      </x:c>
      <x:c r="M5" s="44" t="str">
        <x:v>Homeland Justice</x:v>
      </x:c>
      <x:c r="N5" s="44" t="str">
        <x:v>Homeland Justice claim; operator identity not independently proven in source summary</x:v>
      </x:c>
      <x:c r="O5" s="44" t="str">
        <x:v>Established historical Iran nexus; current incident state direction unresolved.</x:v>
      </x:c>
      <x:c r="P5" s="44" t="str">
        <x:v>No definitive current state-direction finding recorded here.</x:v>
      </x:c>
      <x:c r="Q5" s="44" t="str">
        <x:v>🟢 Established</x:v>
      </x:c>
      <x:c r="R5" s="44" t="str">
        <x:v>🟢 Established</x:v>
      </x:c>
      <x:c r="S5" s="44" t="str">
        <x:v>🟡 Probable</x:v>
      </x:c>
      <x:c r="T5" s="44" t="str">
        <x:v>🟡 Probable historical actor continuity; current direction open</x:v>
      </x:c>
      <x:c r="U5" s="44" t="str">
        <x:v>🟡 Possible recurrence</x:v>
      </x:c>
      <x:c r="V5" s="44" t="str">
        <x:v>Moderate / high — established history of Iran-Albania cyber conflict</x:v>
      </x:c>
      <x:c r="W5" s="44" t="str">
        <x:v>Iran-linked actor claim with historical nexus; current state direction not independently proven</x:v>
      </x:c>
      <x:c r="X5" s="44" t="str">
        <x:v>Probable</x:v>
      </x:c>
      <x:c r="Y5" s="44" t="str">
        <x:v>Alias reuse, partial independence, or operation not directly tasked by the state.</x:v>
      </x:c>
      <x:c r="Z5" s="44" t="str">
        <x:v>Government administrative disruption</x:v>
      </x:c>
      <x:c r="AA5" s="44" t="str">
        <x:v>State direction not independently established.</x:v>
      </x:c>
      <x:c r="AB5" s="44" t="str">
        <x:v>https://cert.europa.eu/publications/threat-intelligence/cb26-04</x:v>
      </x:c>
      <x:c r="AC5" s="44" t="str">
        <x:v>Tier 1/2 — CERT-EU synthesis</x:v>
      </x:c>
      <x:c r="AD5" s="44" t="str">
        <x:v>2026-08-09</x:v>
      </x:c>
      <x:c r="AE5" s="44" t="str">
        <x:v>Current</x:v>
      </x:c>
      <x:c r="AF5" s="44" t="str">
        <x:v>Actor claim + historical nexus retained separately from state direction.</x:v>
      </x:c>
      <x:c r="AG5" s="44" t="str">
        <x:v>Other / established</x:v>
      </x:c>
      <x:c r="AH5" s="44" t="str">
        <x:v>Not reported / not applicable.</x:v>
      </x:c>
      <x:c r="AI5" s="44" t="str">
        <x:v>Government enterprise IT / public-service dependency</x:v>
      </x:c>
      <x:c r="AJ5" s="44" t="str">
        <x:v>⚪ Open / not established.</x:v>
      </x:c>
      <x:c r="AK5" s="44" t="str">
        <x:v>⚪ Open; inclusion and recurrence do not establish one strategic campaign.</x:v>
      </x:c>
      <x:c r="AL5" s="44" t="str">
        <x:v>Civilian / protected-function relevance; legal character and military-objective status require incident-specific analysis.</x:v>
      </x:c>
      <x:c r="AM5" s="44" t="str">
        <x:v>Parliament of Albania: Internal email and staff computer access disrupted.</x:v>
      </x:c>
      <x:c r="AN5" s="44" t="str">
        <x:v>Source functions recorded in Sources and Source Tier; repeated coverage is not treated as independent corroboration.</x:v>
      </x:c>
    </x:row>
    <x:row r="6" ht="15" hidden="0" customHeight="1">
      <x:c r="A6" s="43" t="n">
        <x:v>46092</x:v>
      </x:c>
      <x:c r="B6" s="44" t="str">
        <x:v>Cyber incident</x:v>
      </x:c>
      <x:c r="C6" s="44" t="str">
        <x:v>Core</x:v>
      </x:c>
      <x:c r="D6" s="44" t="str">
        <x:v>United States / Ireland</x:v>
      </x:c>
      <x:c r="E6" s="44" t="str">
        <x:v>Healthcare / medical-device manufacturing and supply</x:v>
      </x:c>
      <x:c r="F6" s="44" t="str">
        <x:v>Healthcare / medical supply</x:v>
      </x:c>
      <x:c r="G6" s="44" t="str">
        <x:v>Stryker</x:v>
      </x:c>
      <x:c r="H6" s="44" t="str">
        <x:v>Cyberattack disrupted Microsoft-based systems, order processing, manufacturing and shipments. Handala claimed responsibility and framed the attack as retaliation for US–Israeli strikes.</x:v>
      </x:c>
      <x:c r="I6" s="44" t="str">
        <x:v>Enterprise IT / manufacturing and supply systems</x:v>
      </x:c>
      <x:c r="J6" s="44" t="str">
        <x:v>Ordering, manufacturing and shipments disrupted; restoration took time.</x:v>
      </x:c>
      <x:c r="K6" s="44" t="str">
        <x:v>Destructive effects on remote Windows-based devices were reported; no uniform patient-safety effect established.</x:v>
      </x:c>
      <x:c r="L6" s="44" t="str">
        <x:v>📣 Actor-claimed</x:v>
      </x:c>
      <x:c r="M6" s="44" t="str">
        <x:v>Handala</x:v>
      </x:c>
      <x:c r="N6" s="44" t="str">
        <x:v>Handala / Iran-linked group</x:v>
      </x:c>
      <x:c r="O6" s="44" t="str">
        <x:v>Reuters described the group as Iran-linked; later US law-enforcement action alleged probable cause regarding the destructive attack. Exact state direction remains distinct from actor linkage.</x:v>
      </x:c>
      <x:c r="P6" s="44" t="str">
        <x:v>US authorities later seized domains associated with Handala; this strengthens actor linkage but is not the same as a public finding of Iranian state direction.</x:v>
      </x:c>
      <x:c r="Q6" s="44" t="str">
        <x:v>🟢 Established</x:v>
      </x:c>
      <x:c r="R6" s="44" t="str">
        <x:v>🟢 Established</x:v>
      </x:c>
      <x:c r="S6" s="44" t="str">
        <x:v>🟡 Probable</x:v>
      </x:c>
      <x:c r="T6" s="44" t="str">
        <x:v>🟡 Probable Handala linkage</x:v>
      </x:c>
      <x:c r="U6" s="44" t="str">
        <x:v>🟡 Possible recurrence</x:v>
      </x:c>
      <x:c r="V6" s="44" t="str">
        <x:v>High — US direct belligerent; medical supply chain</x:v>
      </x:c>
      <x:c r="W6" s="44" t="str">
        <x:v>Iran-linked actor linkage strengthened; state direction of this incident not separately established</x:v>
      </x:c>
      <x:c r="X6" s="44" t="str">
        <x:v>Probable</x:v>
      </x:c>
      <x:c r="Y6" s="44" t="str">
        <x:v>Actor may have varying degrees of state affiliation or autonomy; claim alone does not establish direction.</x:v>
      </x:c>
      <x:c r="Z6" s="44" t="str">
        <x:v>Material healthcare supply-chain disruption</x:v>
      </x:c>
      <x:c r="AA6" s="44" t="str">
        <x:v>Company said no indication of ransomware or malware at initial reporting; no patient-harm finding recorded.</x:v>
      </x:c>
      <x:c r="AB6" s="44" t="str">
        <x:v>https://www.reuters.com/technology/stryker-shares-fall-after-report-suspected-iran-linked-cyberattack-2026-03-11/ | https://www.reuters.com/technology/iran-linked-hackers-restore-website-after-us-seizes-domains-2026-03-20/</x:v>
      </x:c>
      <x:c r="AC6" s="44" t="str">
        <x:v>Tier 3 reporting + law-enforcement action described</x:v>
      </x:c>
      <x:c r="AD6" s="44" t="str">
        <x:v>2026-08-09</x:v>
      </x:c>
      <x:c r="AE6" s="44" t="str">
        <x:v>Updated</x:v>
      </x:c>
      <x:c r="AF6" s="44" t="str">
        <x:v>2026-03-11 actor-claimed / Iran-linked reporting → 2026-03-20 US domain seizure and probable-cause allegation strengthened actor linkage.</x:v>
      </x:c>
      <x:c r="AG6" s="44" t="str">
        <x:v>Other / established</x:v>
      </x:c>
      <x:c r="AH6" s="44" t="str">
        <x:v>Not reported / not applicable.</x:v>
      </x:c>
      <x:c r="AI6" s="44" t="str">
        <x:v>Malware / destructive or extortion ecosystem</x:v>
      </x:c>
      <x:c r="AJ6" s="44" t="str">
        <x:v>⚪ Open / not established.</x:v>
      </x:c>
      <x:c r="AK6" s="44" t="str">
        <x:v>⚪ Open; inclusion and recurrence do not establish one strategic campaign.</x:v>
      </x:c>
      <x:c r="AL6" s="44" t="str">
        <x:v>Civilian / protected-function relevance; legal character and military-objective status require incident-specific analysis.</x:v>
      </x:c>
      <x:c r="AM6" s="44" t="str">
        <x:v>Stryker: Ordering, manufacturing and shipments disrupted; restoration took time.</x:v>
      </x:c>
      <x:c r="AN6" s="44" t="str">
        <x:v>Source functions recorded in Sources and Source Tier; repeated coverage is not treated as independent corroboration.</x:v>
      </x:c>
    </x:row>
    <x:row r="7" ht="15" hidden="0" customHeight="1">
      <x:c r="A7" s="43" t="n">
        <x:v>46093</x:v>
      </x:c>
      <x:c r="B7" s="44" t="str">
        <x:v>Cyber incident</x:v>
      </x:c>
      <x:c r="C7" s="44" t="str">
        <x:v>Core</x:v>
      </x:c>
      <x:c r="D7" s="44" t="str">
        <x:v>Poland</x:v>
      </x:c>
      <x:c r="E7" s="44" t="str">
        <x:v>Nuclear research / government scientific infrastructure</x:v>
      </x:c>
      <x:c r="F7" s="44" t="str">
        <x:v>Government / administration</x:v>
      </x:c>
      <x:c r="G7" s="44" t="str">
        <x:v>National Centre for Nuclear Research</x:v>
      </x:c>
      <x:c r="H7" s="44" t="str">
        <x:v>Poland reported an unsuccessful cyberattack. Early indicators reportedly pointed toward Iranian origins, while officials explicitly warned those indicators could represent misdirection.</x:v>
      </x:c>
      <x:c r="I7" s="44" t="str">
        <x:v>Scientific / government IT</x:v>
      </x:c>
      <x:c r="J7" s="44" t="str">
        <x:v>Attempt unsuccessful; system integrity reportedly remained intact.</x:v>
      </x:c>
      <x:c r="K7" s="44" t="str">
        <x:v>No compromise of system integrity reported.</x:v>
      </x:c>
      <x:c r="L7" s="44" t="str">
        <x:v>Officially reported incident</x:v>
      </x:c>
      <x:c r="M7" s="44" t="str">
        <x:v>N/A</x:v>
      </x:c>
      <x:c r="N7" s="44" t="str">
        <x:v>Unknown</x:v>
      </x:c>
      <x:c r="O7" s="44" t="str">
        <x:v>Possible Iranian origin indicators; false-flag possibility explicitly preserved.</x:v>
      </x:c>
      <x:c r="P7" s="44" t="str">
        <x:v>No definitive attribution.</x:v>
      </x:c>
      <x:c r="Q7" s="44" t="str">
        <x:v>🟢 Established</x:v>
      </x:c>
      <x:c r="R7" s="44" t="str">
        <x:v>🟢 Established</x:v>
      </x:c>
      <x:c r="S7" s="44" t="str">
        <x:v>🟠 Suspected</x:v>
      </x:c>
      <x:c r="T7" s="44" t="str">
        <x:v>⚪ Open</x:v>
      </x:c>
      <x:c r="U7" s="44" t="str">
        <x:v>⚪ Isolated</x:v>
      </x:c>
      <x:c r="V7" s="44" t="str">
        <x:v>Moderate — nuclear/scientific state infrastructure in a European partner state</x:v>
      </x:c>
      <x:c r="W7" s="44" t="str">
        <x:v>Suspected; explicitly uncertain</x:v>
      </x:c>
      <x:c r="X7" s="44" t="str">
        <x:v>Suspected</x:v>
      </x:c>
      <x:c r="Y7" s="44" t="str">
        <x:v>False flag / deliberate misdirection; unrelated hostile actor; opportunistic intrusion.</x:v>
      </x:c>
      <x:c r="Z7" s="44" t="str">
        <x:v>Attempted compromise of sensitive scientific infrastructure</x:v>
      </x:c>
      <x:c r="AA7" s="44" t="str">
        <x:v>System integrity reportedly not compromised.</x:v>
      </x:c>
      <x:c r="AB7" s="44" t="str">
        <x:v>https://cert.europa.eu/publications/threat-intelligence/cb26-04</x:v>
      </x:c>
      <x:c r="AC7" s="44" t="str">
        <x:v>Tier 1/2 — CERT-EU synthesis</x:v>
      </x:c>
      <x:c r="AD7" s="44" t="str">
        <x:v>2026-08-09</x:v>
      </x:c>
      <x:c r="AE7" s="44" t="str">
        <x:v>Current</x:v>
      </x:c>
      <x:c r="AF7" s="44" t="str">
        <x:v>Suspected Iran link retained with explicit misdirection warning.</x:v>
      </x:c>
      <x:c r="AG7" s="44" t="str">
        <x:v>Suspected</x:v>
      </x:c>
      <x:c r="AH7" s="44" t="str">
        <x:v>Not reported / not applicable.</x:v>
      </x:c>
      <x:c r="AI7" s="44" t="str">
        <x:v>Government enterprise IT / public-service dependency</x:v>
      </x:c>
      <x:c r="AJ7" s="44" t="str">
        <x:v>⚪ Open / not established.</x:v>
      </x:c>
      <x:c r="AK7" s="44" t="str">
        <x:v>⚪ Open; inclusion and recurrence do not establish one strategic campaign.</x:v>
      </x:c>
      <x:c r="AL7" s="44" t="str">
        <x:v>Civilian / protected-function relevance; legal character and military-objective status require incident-specific analysis.</x:v>
      </x:c>
      <x:c r="AM7" s="44" t="str">
        <x:v>National Centre for Nuclear Research: Attempt unsuccessful; system integrity reportedly remained intact.</x:v>
      </x:c>
      <x:c r="AN7" s="44" t="str">
        <x:v>Source functions recorded in Sources and Source Tier; repeated coverage is not treated as independent corroboration.</x:v>
      </x:c>
    </x:row>
    <x:row r="8" ht="15" hidden="0" customHeight="1">
      <x:c r="A8" s="43" t="n">
        <x:v>46094</x:v>
      </x:c>
      <x:c r="B8" s="44" t="str">
        <x:v>Cyber incident</x:v>
      </x:c>
      <x:c r="C8" s="44" t="str">
        <x:v>Adjacent</x:v>
      </x:c>
      <x:c r="D8" s="44" t="str">
        <x:v>Sweden</x:v>
      </x:c>
      <x:c r="E8" s="44" t="str">
        <x:v>Government administration / e-government</x:v>
      </x:c>
      <x:c r="F8" s="44" t="str">
        <x:v>Government / administration</x:v>
      </x:c>
      <x:c r="G8" s="44" t="str">
        <x:v>Swedish e-government platform via CGI Sweden</x:v>
      </x:c>
      <x:c r="H8" s="44" t="str">
        <x:v>Researchers reported alleged theft of data associated with a Swedish e-government platform through contractor CGI Sweden; source code was reportedly released and citizen databases offered for sale.</x:v>
      </x:c>
      <x:c r="I8" s="44" t="str">
        <x:v>Contracted digital-service / data infrastructure</x:v>
      </x:c>
      <x:c r="J8" s="44" t="str">
        <x:v>Potential compromise of e-government data custody.</x:v>
      </x:c>
      <x:c r="K8" s="44" t="str">
        <x:v>Alleged source-code and citizen-data theft / release.</x:v>
      </x:c>
      <x:c r="L8" s="44" t="str">
        <x:v>Reported / alleged</x:v>
      </x:c>
      <x:c r="M8" s="44" t="str">
        <x:v>Unknown / cybercrime claim</x:v>
      </x:c>
      <x:c r="N8" s="44" t="str">
        <x:v>Unknown</x:v>
      </x:c>
      <x:c r="O8" s="44" t="str">
        <x:v>None publicly established.</x:v>
      </x:c>
      <x:c r="P8" s="44" t="str">
        <x:v>None recorded.</x:v>
      </x:c>
      <x:c r="Q8" s="44" t="str">
        <x:v>🟠 Suspected / developing</x:v>
      </x:c>
      <x:c r="R8" s="44" t="str">
        <x:v>🟠 Suspected / developing</x:v>
      </x:c>
      <x:c r="S8" s="44" t="str">
        <x:v>⚪ Open</x:v>
      </x:c>
      <x:c r="T8" s="44" t="str">
        <x:v>⚪ Open</x:v>
      </x:c>
      <x:c r="U8" s="44" t="str">
        <x:v>⚪ Isolated</x:v>
      </x:c>
      <x:c r="V8" s="44" t="str">
        <x:v>Low / contextual — essential state digital service during war window</x:v>
      </x:c>
      <x:c r="W8" s="44" t="str">
        <x:v>No public Iran attribution</x:v>
      </x:c>
      <x:c r="X8" s="44" t="str">
        <x:v>Open</x:v>
      </x:c>
      <x:c r="Y8" s="44" t="str">
        <x:v>Ordinary cybercrime; unrelated state or non-state actor.</x:v>
      </x:c>
      <x:c r="Z8" s="44" t="str">
        <x:v>Potential loss of state-service data and source code</x:v>
      </x:c>
      <x:c r="AA8" s="44" t="str">
        <x:v>No Iran linkage established.</x:v>
      </x:c>
      <x:c r="AB8" s="44" t="str">
        <x:v>https://cert.europa.eu/publications/threat-intelligence/cb26-04</x:v>
      </x:c>
      <x:c r="AC8" s="44" t="str">
        <x:v>Tier 1/2 — CERT-EU synthesis</x:v>
      </x:c>
      <x:c r="AD8" s="44" t="str">
        <x:v>2026-08-09</x:v>
      </x:c>
      <x:c r="AE8" s="44" t="str">
        <x:v>Current</x:v>
      </x:c>
      <x:c r="AF8" s="44" t="str">
        <x:v>Unattributed.</x:v>
      </x:c>
      <x:c r="AG8" s="44" t="str">
        <x:v>Other / established</x:v>
      </x:c>
      <x:c r="AH8" s="44" t="str">
        <x:v>Not reported / not applicable.</x:v>
      </x:c>
      <x:c r="AI8" s="44" t="str">
        <x:v>Government enterprise IT / public-service dependency</x:v>
      </x:c>
      <x:c r="AJ8" s="44" t="str">
        <x:v>⚪ Open / not established.</x:v>
      </x:c>
      <x:c r="AK8" s="44" t="str">
        <x:v>⚪ Open; inclusion and recurrence do not establish one strategic campaign.</x:v>
      </x:c>
      <x:c r="AL8" s="44" t="str">
        <x:v>Civilian / protected-function relevance; legal character and military-objective status require incident-specific analysis.</x:v>
      </x:c>
      <x:c r="AM8" s="44" t="str">
        <x:v>Swedish e-government platform via CGI Sweden: Potential compromise of e-government data custody.</x:v>
      </x:c>
      <x:c r="AN8" s="44" t="str">
        <x:v>Source functions recorded in Sources and Source Tier; repeated coverage is not treated as independent corroboration.</x:v>
      </x:c>
    </x:row>
    <x:row r="9" ht="15" hidden="0" customHeight="1">
      <x:c r="A9" s="43" t="n">
        <x:v>46100</x:v>
      </x:c>
      <x:c r="B9" s="44" t="str">
        <x:v>Cyber incident</x:v>
      </x:c>
      <x:c r="C9" s="44" t="str">
        <x:v>Core</x:v>
      </x:c>
      <x:c r="D9" s="44" t="str">
        <x:v>Netherlands</x:v>
      </x:c>
      <x:c r="E9" s="44" t="str">
        <x:v>Government administration / finance</x:v>
      </x:c>
      <x:c r="F9" s="44" t="str">
        <x:v>Financial services</x:v>
      </x:c>
      <x:c r="G9" s="44" t="str">
        <x:v>Dutch Ministry of Finance</x:v>
      </x:c>
      <x:c r="H9" s="44" t="str">
        <x:v>The ministry detected a breach after third-party notification; some employee systems were affected while tax, customs and benefits services reportedly remained operational.</x:v>
      </x:c>
      <x:c r="I9" s="44" t="str">
        <x:v>Government enterprise IT</x:v>
      </x:c>
      <x:c r="J9" s="44" t="str">
        <x:v>Internal systems affected without reported interruption to major citizen-facing services.</x:v>
      </x:c>
      <x:c r="K9" s="44" t="str">
        <x:v>Data impact not fully specified in source summary.</x:v>
      </x:c>
      <x:c r="L9" s="44" t="str">
        <x:v>Officially reported incident</x:v>
      </x:c>
      <x:c r="M9" s="44" t="str">
        <x:v>N/A</x:v>
      </x:c>
      <x:c r="N9" s="44" t="str">
        <x:v>Unknown</x:v>
      </x:c>
      <x:c r="O9" s="44" t="str">
        <x:v>None publicly established.</x:v>
      </x:c>
      <x:c r="P9" s="44" t="str">
        <x:v>None recorded.</x:v>
      </x:c>
      <x:c r="Q9" s="44" t="str">
        <x:v>🟢 Established</x:v>
      </x:c>
      <x:c r="R9" s="44" t="str">
        <x:v>🟢 Established</x:v>
      </x:c>
      <x:c r="S9" s="44" t="str">
        <x:v>⚪ Open</x:v>
      </x:c>
      <x:c r="T9" s="44" t="str">
        <x:v>⚪ Open</x:v>
      </x:c>
      <x:c r="U9" s="44" t="str">
        <x:v>⚪ Isolated</x:v>
      </x:c>
      <x:c r="V9" s="44" t="str">
        <x:v>Low / contextual</x:v>
      </x:c>
      <x:c r="W9" s="44" t="str">
        <x:v>No public Iran attribution</x:v>
      </x:c>
      <x:c r="X9" s="44" t="str">
        <x:v>Open</x:v>
      </x:c>
      <x:c r="Y9" s="44" t="str">
        <x:v>Ordinary cybercrime; unrelated hostile-state activity; opportunistic intrusion.</x:v>
      </x:c>
      <x:c r="Z9" s="44" t="str">
        <x:v>Government administrative compromise; major public services remained available</x:v>
      </x:c>
      <x:c r="AA9" s="44" t="str">
        <x:v>Tax, customs and benefits services reportedly remained operational.</x:v>
      </x:c>
      <x:c r="AB9" s="44" t="str">
        <x:v>https://cert.europa.eu/publications/threat-intelligence/cb26-04</x:v>
      </x:c>
      <x:c r="AC9" s="44" t="str">
        <x:v>Tier 1/2 — CERT-EU synthesis</x:v>
      </x:c>
      <x:c r="AD9" s="44" t="str">
        <x:v>2026-08-09</x:v>
      </x:c>
      <x:c r="AE9" s="44" t="str">
        <x:v>Current</x:v>
      </x:c>
      <x:c r="AF9" s="44" t="str">
        <x:v>Unattributed.</x:v>
      </x:c>
      <x:c r="AG9" s="44" t="str">
        <x:v>Other / established</x:v>
      </x:c>
      <x:c r="AH9" s="44" t="str">
        <x:v>Not reported / not applicable.</x:v>
      </x:c>
      <x:c r="AI9" s="44" t="str">
        <x:v>Government enterprise IT / public-service dependency</x:v>
      </x:c>
      <x:c r="AJ9" s="44" t="str">
        <x:v>⚪ Open / not established.</x:v>
      </x:c>
      <x:c r="AK9" s="44" t="str">
        <x:v>⚪ Open; inclusion and recurrence do not establish one strategic campaign.</x:v>
      </x:c>
      <x:c r="AL9" s="44" t="str">
        <x:v>Civilian / protected-function relevance; legal character and military-objective status require incident-specific analysis.</x:v>
      </x:c>
      <x:c r="AM9" s="44" t="str">
        <x:v>Dutch Ministry of Finance: Internal systems affected without reported interruption to major citizen-facing services.</x:v>
      </x:c>
      <x:c r="AN9" s="44" t="str">
        <x:v>Source functions recorded in Sources and Source Tier; repeated coverage is not treated as independent corroboration.</x:v>
      </x:c>
    </x:row>
    <x:row r="10" ht="15" hidden="0" customHeight="1">
      <x:c r="A10" s="43" t="n">
        <x:v>46106</x:v>
      </x:c>
      <x:c r="B10" s="44" t="str">
        <x:v>Cyber incident</x:v>
      </x:c>
      <x:c r="C10" s="44" t="str">
        <x:v>Core</x:v>
      </x:c>
      <x:c r="D10" s="44" t="str">
        <x:v>Netherlands</x:v>
      </x:c>
      <x:c r="E10" s="44" t="str">
        <x:v>Policing / justice infrastructure</x:v>
      </x:c>
      <x:c r="F10" s="44" t="str">
        <x:v>Policing / justice</x:v>
      </x:c>
      <x:c r="G10" s="44" t="str">
        <x:v>Dutch National Police</x:v>
      </x:c>
      <x:c r="H10" s="44" t="str">
        <x:v>Police reported a successful phishing breach. Access was blocked; no citizen or investigative data was reported exposed.</x:v>
      </x:c>
      <x:c r="I10" s="44" t="str">
        <x:v>Police enterprise IT / account access</x:v>
      </x:c>
      <x:c r="J10" s="44" t="str">
        <x:v>Unauthorised access occurred and was blocked.</x:v>
      </x:c>
      <x:c r="K10" s="44" t="str">
        <x:v>No citizen or investigative data reported exposed.</x:v>
      </x:c>
      <x:c r="L10" s="44" t="str">
        <x:v>Officially reported incident</x:v>
      </x:c>
      <x:c r="M10" s="44" t="str">
        <x:v>N/A</x:v>
      </x:c>
      <x:c r="N10" s="44" t="str">
        <x:v>Unknown</x:v>
      </x:c>
      <x:c r="O10" s="44" t="str">
        <x:v>None publicly established.</x:v>
      </x:c>
      <x:c r="P10" s="44" t="str">
        <x:v>None recorded.</x:v>
      </x:c>
      <x:c r="Q10" s="44" t="str">
        <x:v>🟢 Established</x:v>
      </x:c>
      <x:c r="R10" s="44" t="str">
        <x:v>🟢 Established</x:v>
      </x:c>
      <x:c r="S10" s="44" t="str">
        <x:v>⚪ Open</x:v>
      </x:c>
      <x:c r="T10" s="44" t="str">
        <x:v>⚪ Open</x:v>
      </x:c>
      <x:c r="U10" s="44" t="str">
        <x:v>⚪ Isolated</x:v>
      </x:c>
      <x:c r="V10" s="44" t="str">
        <x:v>Low / contextual</x:v>
      </x:c>
      <x:c r="W10" s="44" t="str">
        <x:v>No public Iran attribution</x:v>
      </x:c>
      <x:c r="X10" s="44" t="str">
        <x:v>Open</x:v>
      </x:c>
      <x:c r="Y10" s="44" t="str">
        <x:v>Ordinary phishing / cybercrime; unrelated hostile-state activity.</x:v>
      </x:c>
      <x:c r="Z10" s="44" t="str">
        <x:v>Police infrastructure account compromise</x:v>
      </x:c>
      <x:c r="AA10" s="44" t="str">
        <x:v>No citizen or investigative data reported exposed.</x:v>
      </x:c>
      <x:c r="AB10" s="44" t="str">
        <x:v>https://cert.europa.eu/publications/threat-intelligence/cb26-04</x:v>
      </x:c>
      <x:c r="AC10" s="44" t="str">
        <x:v>Tier 1/2 — CERT-EU synthesis</x:v>
      </x:c>
      <x:c r="AD10" s="44" t="str">
        <x:v>2026-08-09</x:v>
      </x:c>
      <x:c r="AE10" s="44" t="str">
        <x:v>Current</x:v>
      </x:c>
      <x:c r="AF10" s="44" t="str">
        <x:v>Unattributed.</x:v>
      </x:c>
      <x:c r="AG10" s="44" t="str">
        <x:v>Other / established</x:v>
      </x:c>
      <x:c r="AH10" s="44" t="str">
        <x:v>Not reported / not applicable.</x:v>
      </x:c>
      <x:c r="AI10" s="44" t="str">
        <x:v>Government enterprise IT / public-service dependency</x:v>
      </x:c>
      <x:c r="AJ10" s="44" t="str">
        <x:v>⚪ Open / not established.</x:v>
      </x:c>
      <x:c r="AK10" s="44" t="str">
        <x:v>⚪ Open; inclusion and recurrence do not establish one strategic campaign.</x:v>
      </x:c>
      <x:c r="AL10" s="44" t="str">
        <x:v>Civilian / protected-function relevance; legal character and military-objective status require incident-specific analysis.</x:v>
      </x:c>
      <x:c r="AM10" s="44" t="str">
        <x:v>Dutch National Police: Unauthorised access occurred and was blocked.</x:v>
      </x:c>
      <x:c r="AN10" s="44" t="str">
        <x:v>Source functions recorded in Sources and Source Tier; repeated coverage is not treated as independent corroboration.</x:v>
      </x:c>
    </x:row>
    <x:row r="11" ht="15" hidden="0" customHeight="1">
      <x:c r="A11" s="43" t="n">
        <x:v>46168</x:v>
      </x:c>
      <x:c r="B11" s="44" t="str">
        <x:v>Attribution / incident update</x:v>
      </x:c>
      <x:c r="C11" s="44" t="str">
        <x:v>Context</x:v>
      </x:c>
      <x:c r="D11" s="44" t="str">
        <x:v>United States</x:v>
      </x:c>
      <x:c r="E11" s="44" t="str">
        <x:v>Transport</x:v>
      </x:c>
      <x:c r="F11" s="44" t="str">
        <x:v>Transport</x:v>
      </x:c>
      <x:c r="G11" s="44" t="str">
        <x:v>Los Angeles County Metropolitan Transportation Authority</x:v>
      </x:c>
      <x:c r="H11" s="44" t="str">
        <x:v>Security researchers attributed a March breach of Los Angeles Metro systems to Iranian-backed / MOIS-linked hackers; recovery reportedly took weeks.</x:v>
      </x:c>
      <x:c r="I11" s="44" t="str">
        <x:v>Public transport IT / administrative systems</x:v>
      </x:c>
      <x:c r="J11" s="44" t="str">
        <x:v>Extended recovery from compromise.</x:v>
      </x:c>
      <x:c r="K11" s="44" t="str">
        <x:v>Specific physical transport effects not established in cited report summary.</x:v>
      </x:c>
      <x:c r="L11" s="44" t="str">
        <x:v>Researcher attribution</x:v>
      </x:c>
      <x:c r="M11" s="44" t="str">
        <x:v>N/A</x:v>
      </x:c>
      <x:c r="N11" s="44" t="str">
        <x:v>Iran-backed / MOIS-linked actor per researchers</x:v>
      </x:c>
      <x:c r="O11" s="44" t="str">
        <x:v>Researcher-led Iran/MOIS linkage; formal US government attribution not established in cited report.</x:v>
      </x:c>
      <x:c r="P11" s="44" t="str">
        <x:v>Not established in cited report.</x:v>
      </x:c>
      <x:c r="Q11" s="44" t="str">
        <x:v>🟢 Established</x:v>
      </x:c>
      <x:c r="R11" s="44" t="str">
        <x:v>🟢 Established</x:v>
      </x:c>
      <x:c r="S11" s="44" t="str">
        <x:v>🟡 Probable</x:v>
      </x:c>
      <x:c r="T11" s="44" t="str">
        <x:v>🟡 Probable researcher linkage</x:v>
      </x:c>
      <x:c r="U11" s="44" t="str">
        <x:v>🟡 Possible recurrence</x:v>
      </x:c>
      <x:c r="V11" s="44" t="str">
        <x:v>High — transport infrastructure in direct belligerent state</x:v>
      </x:c>
      <x:c r="W11" s="44" t="str">
        <x:v>Researcher-led Iran/MOIS link; government attribution open</x:v>
      </x:c>
      <x:c r="X11" s="44" t="str">
        <x:v>Probable</x:v>
      </x:c>
      <x:c r="Y11" s="44" t="str">
        <x:v>Research attribution may be revised; public technical basis may be incomplete.</x:v>
      </x:c>
      <x:c r="Z11" s="44" t="str">
        <x:v>Essential metropolitan transport recovery impact</x:v>
      </x:c>
      <x:c r="AA11" s="44" t="str">
        <x:v>No formal US government attribution in cited report.</x:v>
      </x:c>
      <x:c r="AB11" s="44" t="str">
        <x:v>https://techcrunch.com/2026/05/26/iranian-hackers-blamed-for-breach-of-los-angeles-transit-system-that-took-weeks-to-recover/</x:v>
      </x:c>
      <x:c r="AC11" s="44" t="str">
        <x:v>Tier 3 reporting on researcher attribution</x:v>
      </x:c>
      <x:c r="AD11" s="44" t="str">
        <x:v>2026-08-09</x:v>
      </x:c>
      <x:c r="AE11" s="44" t="str">
        <x:v>Current</x:v>
      </x:c>
      <x:c r="AF11" s="44" t="str">
        <x:v>March breach → May researcher attribution.</x:v>
      </x:c>
      <x:c r="AG11" s="44" t="str">
        <x:v>Open / no evidence</x:v>
      </x:c>
      <x:c r="AH11" s="44" t="str">
        <x:v>Not reported / not applicable.</x:v>
      </x:c>
      <x:c r="AI11" s="44" t="str">
        <x:v>Enterprise IT / contracted logistics dependency</x:v>
      </x:c>
      <x:c r="AJ11" s="44" t="str">
        <x:v>⚪ Open / not established.</x:v>
      </x:c>
      <x:c r="AK11" s="44" t="str">
        <x:v>⚪ Open; inclusion and recurrence do not establish one strategic campaign.</x:v>
      </x:c>
      <x:c r="AL11" s="44" t="str">
        <x:v>Civilian / protected-function relevance; legal character and military-objective status require incident-specific analysis.</x:v>
      </x:c>
      <x:c r="AM11" s="44" t="str">
        <x:v>Los Angeles County Metropolitan Transportation Authority: Extended recovery from compromise.</x:v>
      </x:c>
      <x:c r="AN11" s="44" t="str">
        <x:v>Source functions recorded in Sources and Source Tier; repeated coverage is not treated as independent corroboration.</x:v>
      </x:c>
    </x:row>
    <x:row r="12" ht="15" hidden="0" customHeight="1">
      <x:c r="A12" s="43" t="n">
        <x:v>46190</x:v>
      </x:c>
      <x:c r="B12" s="44" t="str">
        <x:v>Threat-environment marker</x:v>
      </x:c>
      <x:c r="C12" s="44" t="str">
        <x:v>Context</x:v>
      </x:c>
      <x:c r="D12" s="44" t="str">
        <x:v>United Kingdom</x:v>
      </x:c>
      <x:c r="E12" s="44" t="str">
        <x:v>Aggregate critical infrastructure</x:v>
      </x:c>
      <x:c r="F12" s="44" t="str">
        <x:v>Cross-sector / other</x:v>
      </x:c>
      <x:c r="G12" s="44" t="str">
        <x:v>UK critical infrastructure and supporting ecosystem</x:v>
      </x:c>
      <x:c r="H12" s="44" t="str">
        <x:v>NCSC said it had managed more than 200 incidents affecting UK critical infrastructure and its supporting ecosystem in the year to May 2026; about three-quarters were believed linked to hostile states.</x:v>
      </x:c>
      <x:c r="I12" s="44" t="str">
        <x:v>Aggregate / cross-sector</x:v>
      </x:c>
      <x:c r="J12" s="44" t="str">
        <x:v>Aggregate incident load; not a single incident.</x:v>
      </x:c>
      <x:c r="K12" s="44" t="str">
        <x:v>Varies across underlying incidents.</x:v>
      </x:c>
      <x:c r="L12" s="44" t="str">
        <x:v>Official aggregate assessment</x:v>
      </x:c>
      <x:c r="M12" s="44" t="str">
        <x:v>N/A</x:v>
      </x:c>
      <x:c r="N12" s="44" t="str">
        <x:v>Multiple hostile-state actors</x:v>
      </x:c>
      <x:c r="O12" s="44" t="str">
        <x:v>Hostile-state aggregate; Iran share not identified.</x:v>
      </x:c>
      <x:c r="P12" s="44" t="str">
        <x:v>Not Iran-specific.</x:v>
      </x:c>
      <x:c r="Q12" s="44" t="str">
        <x:v>🟢 Established</x:v>
      </x:c>
      <x:c r="R12" s="44" t="str">
        <x:v>N/A</x:v>
      </x:c>
      <x:c r="S12" s="44" t="str">
        <x:v>🟢 Established for hostile-state aggregate; ⚪ Open for Iran share</x:v>
      </x:c>
      <x:c r="T12" s="44" t="str">
        <x:v>N/A</x:v>
      </x:c>
      <x:c r="U12" s="44" t="str">
        <x:v>🔴 Established hostile-state pressure</x:v>
      </x:c>
      <x:c r="V12" s="44" t="str">
        <x:v>Moderate — background operating environment</x:v>
      </x:c>
      <x:c r="W12" s="44" t="str">
        <x:v>Not Iran-specific</x:v>
      </x:c>
      <x:c r="X12" s="44" t="str">
        <x:v>Open</x:v>
      </x:c>
      <x:c r="Y12" s="44" t="str">
        <x:v>No basis to infer Iran's share from the aggregate figure.</x:v>
      </x:c>
      <x:c r="Z12" s="44" t="str">
        <x:v>National critical-infrastructure threat environment</x:v>
      </x:c>
      <x:c r="AA12" s="44" t="str">
        <x:v>Public statement did not identify Iran's share.</x:v>
      </x:c>
      <x:c r="AB12" s="44" t="str">
        <x:v>https://www.ncsc.gov.uk/news/ncsc-ceo-hostile-states-linked-to-three-quarters-of-cyber-attacks</x:v>
      </x:c>
      <x:c r="AC12" s="44" t="str">
        <x:v>Tier 1 — official</x:v>
      </x:c>
      <x:c r="AD12" s="44" t="str">
        <x:v>2026-08-09</x:v>
      </x:c>
      <x:c r="AE12" s="44" t="str">
        <x:v>Current</x:v>
      </x:c>
      <x:c r="AF12" s="44" t="str">
        <x:v>Aggregate hostile-state assessment only.</x:v>
      </x:c>
      <x:c r="AG12" s="44" t="str">
        <x:v>N/A</x:v>
      </x:c>
      <x:c r="AH12" s="44" t="str">
        <x:v>Not reported / not applicable.</x:v>
      </x:c>
      <x:c r="AI12" s="44" t="str">
        <x:v>Open / not normalised</x:v>
      </x:c>
      <x:c r="AJ12" s="44" t="str">
        <x:v>🟡 Probable cluster continuity; common operator not assumed.</x:v>
      </x:c>
      <x:c r="AK12" s="44" t="str">
        <x:v>⚪ Open; inclusion and recurrence do not establish one strategic campaign.</x:v>
      </x:c>
      <x:c r="AL12" s="44" t="str">
        <x:v>No automatic IHL conclusion from sector or wartime timing.</x:v>
      </x:c>
      <x:c r="AM12" s="44" t="str">
        <x:v>UK critical infrastructure and supporting ecosystem: Aggregate incident load; not a single incident.</x:v>
      </x:c>
      <x:c r="AN12" s="44" t="str">
        <x:v>Source functions recorded in Sources and Source Tier; repeated coverage is not treated as independent corroboration.</x:v>
      </x:c>
    </x:row>
    <x:row r="13" ht="15" hidden="0" customHeight="1">
      <x:c r="A13" s="43" t="n">
        <x:v>46229</x:v>
      </x:c>
      <x:c r="B13" s="44" t="str">
        <x:v>Cyber incident</x:v>
      </x:c>
      <x:c r="C13" s="44" t="str">
        <x:v>Core</x:v>
      </x:c>
      <x:c r="D13" s="44" t="str">
        <x:v>United States — South Carolina / Georgia</x:v>
      </x:c>
      <x:c r="E13" s="44" t="str">
        <x:v>Healthcare / hospital and outpatient services</x:v>
      </x:c>
      <x:c r="F13" s="44" t="str">
        <x:v>Healthcare / medical supply</x:v>
      </x:c>
      <x:c r="G13" s="44" t="str">
        <x:v>AnMed health system</x:v>
      </x:c>
      <x:c r="H13" s="44" t="str">
        <x:v>AnMed identified a malware-related cybersecurity disruption. The health system initially closed 83 facilities, took MyChart and other systems offline, and continued operating under prolonged disruption. The Gentlemen later claimed responsibility; on 11 August attacker-controlled posts appeared on AnMed's Facebook page with ransom demands.</x:v>
      </x:c>
      <x:c r="I13" s="44" t="str">
        <x:v>Enterprise IT / clinical administration / patient portal / social media account</x:v>
      </x:c>
      <x:c r="J13" s="44" t="str">
        <x:v>Initial closure of 83 facilities; ten locations remained closed ten days later; appointments, imaging and some elective services were affected.</x:v>
      </x:c>
      <x:c r="K13" s="44" t="str">
        <x:v>The Gentlemen claimed theft of 6 TB of sensitive data, but AnMed had not confirmed the scope of patient-information impact.</x:v>
      </x:c>
      <x:c r="L13" s="44" t="str">
        <x:v>📣 Actor-claimed</x:v>
      </x:c>
      <x:c r="M13" s="44" t="str">
        <x:v>The Gentlemen</x:v>
      </x:c>
      <x:c r="N13" s="44" t="str">
        <x:v>The Gentlemen ransomware group — claim strengthened by attacker-controlled social-media access; data claims unverified.</x:v>
      </x:c>
      <x:c r="O13" s="44" t="str">
        <x:v>No public state relationship established.</x:v>
      </x:c>
      <x:c r="P13" s="44" t="str">
        <x:v>None.</x:v>
      </x:c>
      <x:c r="Q13" s="44" t="str">
        <x:v>🟢 Established</x:v>
      </x:c>
      <x:c r="R13" s="44" t="str">
        <x:v>🟢 Established</x:v>
      </x:c>
      <x:c r="S13" s="44" t="str">
        <x:v>🟡 Probable for The Gentlemen; ⚪ no evidence found for Iran</x:v>
      </x:c>
      <x:c r="T13" s="44" t="str">
        <x:v>🟡 Probable criminal/extortion operation; no evidence of state tasking.</x:v>
      </x:c>
      <x:c r="U13" s="44" t="str">
        <x:v>🟠 Credible healthcare-disruption cluster</x:v>
      </x:c>
      <x:c r="V13" s="44" t="str">
        <x:v>Moderate — civilian healthcare disruption during war window; no positive Iran evidence.</x:v>
      </x:c>
      <x:c r="W13" s="44" t="str">
        <x:v>⚪ No evidence found</x:v>
      </x:c>
      <x:c r="X13" s="44" t="str">
        <x:v>Open / no public Iran evidence</x:v>
      </x:c>
      <x:c r="Y13" s="44" t="str">
        <x:v>Conventional financially motivated ransomware/extortion is the leading explanation.</x:v>
      </x:c>
      <x:c r="Z13" s="44" t="str">
        <x:v>High service-continuity and person-centred risk; emergency and urgent services remained available.</x:v>
      </x:c>
      <x:c r="AA13" s="44" t="str">
        <x:v>No verified 6 TB theft finding; no public Iran link; not every claimed data category independently verified.</x:v>
      </x:c>
      <x:c r="AB13" s="44" t="str">
        <x:v>https://therecord.media/ransomware-group-hijacks-hospital-facebook-amid-cyberattack-response | https://www.healthcaredive.com/news/anmed-facilities-remain-closed-week-after-cyberattack/827160/ | https://www.foxcarolina.com/2026/08/11/anmed-facebook-page-appears-hacked-amid-ongoing-cyberattack/</x:v>
      </x:c>
      <x:c r="AC13" s="44" t="str">
        <x:v>Tier 2 specialist healthcare/cyber reporting + affected-operator statements quoted</x:v>
      </x:c>
      <x:c r="AD13" s="44" t="str">
        <x:v>2026-08-16</x:v>
      </x:c>
      <x:c r="AE13" s="44" t="str">
        <x:v>New</x:v>
      </x:c>
      <x:c r="AF13" s="44" t="str">
        <x:v>2026-07-26 malware disruption → 2026-08-11 The Gentlemen claim and attacker-controlled Facebook ransom posts strengthened criminal attribution; data-theft claims remain unverified.</x:v>
      </x:c>
      <x:c r="AG13" s="44" t="str">
        <x:v>Open / no evidence</x:v>
      </x:c>
      <x:c r="AH13" s="44" t="str">
        <x:v>Service closures and workarounds reported; precise manual clinical fallback not publicly detailed.</x:v>
      </x:c>
      <x:c r="AI13" s="44" t="str">
        <x:v>Ransomware/extortion ecosystem targeting healthcare enterprise IT</x:v>
      </x:c>
      <x:c r="AJ13" s="44" t="str">
        <x:v>🟡 Probable for AnMed claim; no inheritance across other healthcare incidents.</x:v>
      </x:c>
      <x:c r="AK13" s="44" t="str">
        <x:v>⚪ Open; conventional criminal campaign is the leading explanation.</x:v>
      </x:c>
      <x:c r="AL13" s="44" t="str">
        <x:v>Civilian medical system; protected-function relevance is high, but operator/state responsibility and legal attack threshold remain unresolved.</x:v>
      </x:c>
      <x:c r="AM13" s="44" t="str">
        <x:v>Patients, staff and regional clinics carried appointment, imaging, privacy and continuity effects.</x:v>
      </x:c>
      <x:c r="AN13" s="44" t="str">
        <x:v>Affected-operator statements, specialist cyber reporting and healthcare-sector reporting perform different source functions; attacker claims remain separately labelled.</x:v>
      </x:c>
    </x:row>
    <x:row r="14" ht="15" hidden="0" customHeight="1">
      <x:c r="A14" s="43" t="n">
        <x:v>46229</x:v>
      </x:c>
      <x:c r="B14" s="44" t="str">
        <x:v>Cyber incident cluster</x:v>
      </x:c>
      <x:c r="C14" s="44" t="str">
        <x:v>Core</x:v>
      </x:c>
      <x:c r="D14" s="44" t="str">
        <x:v>United States — Minnesota</x:v>
      </x:c>
      <x:c r="E14" s="44" t="str">
        <x:v>Water and wastewater / operational technology</x:v>
      </x:c>
      <x:c r="F14" s="44" t="str">
        <x:v>Water / wastewater</x:v>
      </x:c>
      <x:c r="G14" s="44" t="str">
        <x:v>More than 30 community water systems</x:v>
      </x:c>
      <x:c r="H14" s="44" t="str">
        <x:v>Coordinated attacks targeted more than 30 Minnesota community water systems over 26–27 July. Reported effects across the wider campaign included operator lockouts, settings changes, loss of pressure, flooding, temporary shutdowns and movement to manual operation.</x:v>
      </x:c>
      <x:c r="I14" s="44" t="str">
        <x:v>OT / PLC / remote monitoring and control</x:v>
      </x:c>
      <x:c r="J14" s="44" t="str">
        <x:v>Operational degradation at some facilities; manual resets / manual operation required.</x:v>
      </x:c>
      <x:c r="K14" s="44" t="str">
        <x:v>Pressure loss and flooding reported within the broader cluster; no contamination established.</x:v>
      </x:c>
      <x:c r="L14" s="44" t="str">
        <x:v>Official incident reporting / investigation</x:v>
      </x:c>
      <x:c r="M14" s="44" t="str">
        <x:v>None accepted as established</x:v>
      </x:c>
      <x:c r="N14" s="44" t="str">
        <x:v>Unknown</x:v>
      </x:c>
      <x:c r="O14" s="44" t="str">
        <x:v>Iranian-affiliated activity was a serious investigative hypothesis because of timing, methods and prior PLC campaign; current wave not formally attributed.</x:v>
      </x:c>
      <x:c r="P14" s="44" t="str">
        <x:v>No definitive federal attribution of the current wave.</x:v>
      </x:c>
      <x:c r="Q14" s="44" t="str">
        <x:v>🟢 Established</x:v>
      </x:c>
      <x:c r="R14" s="44" t="str">
        <x:v>🟢 Established</x:v>
      </x:c>
      <x:c r="S14" s="44" t="str">
        <x:v>🟠 Suspected / developing</x:v>
      </x:c>
      <x:c r="T14" s="44" t="str">
        <x:v>🟡 Probable relation to broader US water OT cluster</x:v>
      </x:c>
      <x:c r="U14" s="44" t="str">
        <x:v>🟠 Credible cluster</x:v>
      </x:c>
      <x:c r="V14" s="44" t="str">
        <x:v>Very high — civilian water infrastructure in direct belligerent state</x:v>
      </x:c>
      <x:c r="W14" s="44" t="str">
        <x:v>Suspected / unresolved</x:v>
      </x:c>
      <x:c r="X14" s="44" t="str">
        <x:v>Suspected</x:v>
      </x:c>
      <x:c r="Y14" s="44" t="str">
        <x:v>Opportunistic exploitation of exposed controllers; criminal or hacktivist activity; copycats; multiple operators.</x:v>
      </x:c>
      <x:c r="Z14" s="44" t="str">
        <x:v>High operational significance; physical-process effects at some facilities</x:v>
      </x:c>
      <x:c r="AA14" s="44" t="str">
        <x:v>No drinking-water contamination established; effects were not uniform across all facilities.</x:v>
      </x:c>
      <x:c r="AB14" s="44" t="str">
        <x:v>https://www.reuters.com/legal/litigation/minnesota-it-officials-disclose-coordinated-cyberattack-more-than-30-local-water-2026-07-28/ | https://www.reuters.com/world/us-cyber-defense-agency-warns-increased-hacker-targeting-water-utilities-2026-07-30/</x:v>
      </x:c>
      <x:c r="AC14" s="44" t="str">
        <x:v>Tier 1 state/FBI reporting via Tier 3 Reuters</x:v>
      </x:c>
      <x:c r="AD14" s="44" t="str">
        <x:v>2026-08-09</x:v>
      </x:c>
      <x:c r="AE14" s="44" t="str">
        <x:v>Current</x:v>
      </x:c>
      <x:c r="AF14" s="44" t="str">
        <x:v>2026-07-26 investigation open → 2026-07-30 Iranian involvement suspected in reporting; no formal federal attribution.</x:v>
      </x:c>
      <x:c r="AG14" s="44" t="str">
        <x:v>Suspected</x:v>
      </x:c>
      <x:c r="AH14" s="44" t="str">
        <x:v>Reported within incident/campaign; see operational-effect field.</x:v>
      </x:c>
      <x:c r="AI14" s="44" t="str">
        <x:v>Internet-exposed OT / PLC exploitation</x:v>
      </x:c>
      <x:c r="AJ14" s="44" t="str">
        <x:v>🟠 Developing — recurring technique; multiple operators/copycats remain viable.</x:v>
      </x:c>
      <x:c r="AK14" s="44" t="str">
        <x:v>🟡 Probable for Minnesota/core wave; not inherited by every multi-state incident.</x:v>
      </x:c>
      <x:c r="AL14" s="44" t="str">
        <x:v>Civilian / protected-function relevance; legal character and military-objective status require incident-specific analysis.</x:v>
      </x:c>
      <x:c r="AM14" s="44" t="str">
        <x:v>More than 30 community water systems: Operational degradation at some facilities; manual resets / manual operation required.</x:v>
      </x:c>
      <x:c r="AN14" s="44" t="str">
        <x:v>Source functions recorded in Sources and Source Tier; repeated coverage is not treated as independent corroboration.</x:v>
      </x:c>
    </x:row>
    <x:row r="15" ht="15" hidden="0" customHeight="1">
      <x:c r="A15" s="43" t="n">
        <x:v>46232</x:v>
      </x:c>
      <x:c r="B15" s="44" t="str">
        <x:v>Cyber incident / adjacent watch</x:v>
      </x:c>
      <x:c r="C15" s="44" t="str">
        <x:v>Adjacent</x:v>
      </x:c>
      <x:c r="D15" s="44" t="str">
        <x:v>European Union / Europe</x:v>
      </x:c>
      <x:c r="E15" s="44" t="str">
        <x:v>Transport / contract logistics / warehousing</x:v>
      </x:c>
      <x:c r="F15" s="44" t="str">
        <x:v>Transport</x:v>
      </x:c>
      <x:c r="G15" s="44" t="str">
        <x:v>CEVA Logistics — at least eight European warehouses</x:v>
      </x:c>
      <x:c r="H15" s="44" t="str">
        <x:v>A cyberattack affected part of CEVA Logistics' European contract-logistics operation, disrupting at least eight warehouses, delaying shipments and exposing delivery-related customer data held for multiple clients.</x:v>
      </x:c>
      <x:c r="I15" s="44" t="str">
        <x:v>Warehouse order-processing / contract-logistics IT / customer delivery data</x:v>
      </x:c>
      <x:c r="J15" s="44" t="str">
        <x:v>Shipment and returns delays across affected warehouses and customers; wider air, ocean, ground and rail management effects were not established.</x:v>
      </x:c>
      <x:c r="K15" s="44" t="str">
        <x:v>Names, addresses, phone numbers, email addresses and order details were reported exposed for some customers; payment and account credentials were not reported exposed in the Valve disclosure.</x:v>
      </x:c>
      <x:c r="L15" s="44" t="str">
        <x:v>Official/customer reporting; operator unattributed</x:v>
      </x:c>
      <x:c r="M15" s="44" t="str">
        <x:v>N/A</x:v>
      </x:c>
      <x:c r="N15" s="44" t="str">
        <x:v>Unknown</x:v>
      </x:c>
      <x:c r="O15" s="44" t="str">
        <x:v>None publicly established.</x:v>
      </x:c>
      <x:c r="P15" s="44" t="str">
        <x:v>None.</x:v>
      </x:c>
      <x:c r="Q15" s="44" t="str">
        <x:v>🟢 Established</x:v>
      </x:c>
      <x:c r="R15" s="44" t="str">
        <x:v>🟢 Established</x:v>
      </x:c>
      <x:c r="S15" s="44" t="str">
        <x:v>⚪ Open</x:v>
      </x:c>
      <x:c r="T15" s="44" t="str">
        <x:v>⚪ Open</x:v>
      </x:c>
      <x:c r="U15" s="44" t="str">
        <x:v>🟡 Possible recurrence / logistics dependency signal</x:v>
      </x:c>
      <x:c r="V15" s="44" t="str">
        <x:v>Adjacent — strategically relevant logistics dependency; no demonstrated port-control, strategic-cargo or Iran link.</x:v>
      </x:c>
      <x:c r="W15" s="44" t="str">
        <x:v>⚪ No evidence found</x:v>
      </x:c>
      <x:c r="X15" s="44" t="str">
        <x:v>Open / no public Iran evidence</x:v>
      </x:c>
      <x:c r="Y15" s="44" t="str">
        <x:v>Ransomware, destructive malware, ordinary cybercrime or another non-state intrusion; technical cause not publicly established.</x:v>
      </x:c>
      <x:c r="Z15" s="44" t="str">
        <x:v>Moderate / high supply-chain and data-custody significance; not automatically essential-state infrastructure.</x:v>
      </x:c>
      <x:c r="AA15" s="44" t="str">
        <x:v>No public Iran attribution; no OT or port-control compromise; no demonstrated military-logistics targeting; no evidence all CEVA transport modes were affected.</x:v>
      </x:c>
      <x:c r="AB15" s="44" t="str">
        <x:v>https://therecord.media/ceva-logistics-cyberattack-bol-steam-debijenkorf-ace-tate | https://techcrunch.com/2026/08/10/a-data-breach-at-shipping-giant-ceva-logistics-is-rippling-across-banks-retailers-steam-gamers-and-beyond/ | https://www.freightwaves.com/news/cyberattack-on-ceva-logistics-warehouses-in-europe-impacts-retailers</x:v>
      </x:c>
      <x:c r="AC15" s="44" t="str">
        <x:v>Tier 2 specialist cyber/transport reporting + customer disclosures</x:v>
      </x:c>
      <x:c r="AD15" s="44" t="str">
        <x:v>2026-08-16</x:v>
      </x:c>
      <x:c r="AE15" s="44" t="str">
        <x:v>New</x:v>
      </x:c>
      <x:c r="AF15" s="44" t="str">
        <x:v>Unattributed; public technical detail remains sparse.</x:v>
      </x:c>
      <x:c r="AG15" s="44" t="str">
        <x:v>Open / no evidence</x:v>
      </x:c>
      <x:c r="AH15" s="44" t="str">
        <x:v>Not publicly detailed.</x:v>
      </x:c>
      <x:c r="AI15" s="44" t="str">
        <x:v>Contracted logistics dependency / warehouse IT concentration</x:v>
      </x:c>
      <x:c r="AJ15" s="44" t="str">
        <x:v>⚪ Open</x:v>
      </x:c>
      <x:c r="AK15" s="44" t="str">
        <x:v>⚪ Open; no evidence of linkage to the water campaign or Iranian strategy.</x:v>
      </x:c>
      <x:c r="AL15" s="44" t="str">
        <x:v>Civilian logistics operator; essentiality and any military-objective analysis depend on affected cargo and function, not ownership alone.</x:v>
      </x:c>
      <x:c r="AM15" s="44" t="str">
        <x:v>Retailers, customers and dependent supply chains carried shipment-delay, return-processing, privacy and phishing risk.</x:v>
      </x:c>
      <x:c r="AN15" s="44" t="str">
        <x:v>CEVA/customer disclosures are supplemented by specialist logistics and cyber reporting; common-source dependency remains possible.</x:v>
      </x:c>
    </x:row>
    <x:row r="16" ht="15" hidden="0" customHeight="1">
      <x:c r="A16" s="43" t="n">
        <x:v>46232</x:v>
      </x:c>
      <x:c r="B16" s="44" t="str">
        <x:v>Cyber incidents / data breach cluster</x:v>
      </x:c>
      <x:c r="C16" s="44" t="str">
        <x:v>Core</x:v>
      </x:c>
      <x:c r="D16" s="44" t="str">
        <x:v>United Kingdom</x:v>
      </x:c>
      <x:c r="E16" s="44" t="str">
        <x:v>Education; government administration; policing / justice data</x:v>
      </x:c>
      <x:c r="F16" s="44" t="str">
        <x:v>Policing / justice</x:v>
      </x:c>
      <x:c r="G16" s="44" t="str">
        <x:v>Department for Education; Police National Legal Database</x:v>
      </x:c>
      <x:c r="H16" s="44" t="str">
        <x:v>Breaches exposed more than 740,000 data items. ExfilSquad claimed the intrusions and demanded payment; DfE, NCSC, NCA and ICO investigations were under way.</x:v>
      </x:c>
      <x:c r="I16" s="44" t="str">
        <x:v>Government data / administrative IT</x:v>
      </x:c>
      <x:c r="J16" s="44" t="str">
        <x:v>Large-scale loss of state-held data confidentiality; service disruption not the primary reported effect.</x:v>
      </x:c>
      <x:c r="K16" s="44" t="str">
        <x:v>More than 740,000 data items exposed.</x:v>
      </x:c>
      <x:c r="L16" s="44" t="str">
        <x:v>📣 Actor-claimed</x:v>
      </x:c>
      <x:c r="M16" s="44" t="str">
        <x:v>ExfilSquad</x:v>
      </x:c>
      <x:c r="N16" s="44" t="str">
        <x:v>Unknown / newly named cybercriminal group claim</x:v>
      </x:c>
      <x:c r="O16" s="44" t="str">
        <x:v>None publicly established.</x:v>
      </x:c>
      <x:c r="P16" s="44" t="str">
        <x:v>No public Iran attribution.</x:v>
      </x:c>
      <x:c r="Q16" s="44" t="str">
        <x:v>🟢 Established</x:v>
      </x:c>
      <x:c r="R16" s="44" t="str">
        <x:v>🟢 Established</x:v>
      </x:c>
      <x:c r="S16" s="44" t="str">
        <x:v>⚪ Open</x:v>
      </x:c>
      <x:c r="T16" s="44" t="str">
        <x:v>🟡 Possible relation between the two UK breaches via same claim</x:v>
      </x:c>
      <x:c r="U16" s="44" t="str">
        <x:v>🟡 Possible recurrence</x:v>
      </x:c>
      <x:c r="V16" s="44" t="str">
        <x:v>Moderate — essential state administration and policing data in support-state environment</x:v>
      </x:c>
      <x:c r="W16" s="44" t="str">
        <x:v>No public Iran attribution</x:v>
      </x:c>
      <x:c r="X16" s="44" t="str">
        <x:v>Open</x:v>
      </x:c>
      <x:c r="Y16" s="44" t="str">
        <x:v>Ordinary cybercrime / extortion; shared access or provider; unrelated incidents claimed together.</x:v>
      </x:c>
      <x:c r="Z16" s="44" t="str">
        <x:v>High data-governance and person-centred risk significance</x:v>
      </x:c>
      <x:c r="AA16" s="44" t="str">
        <x:v>No public evidence of Iranian state direction.</x:v>
      </x:c>
      <x:c r="AB16" s="44" t="str">
        <x:v>https://www.theguardian.com/technology/2026/jul/29/department-for-education-police-hackers-cybercrime</x:v>
      </x:c>
      <x:c r="AC16" s="44" t="str">
        <x:v>Tier 3 — reputable reporting</x:v>
      </x:c>
      <x:c r="AD16" s="44" t="str">
        <x:v>2026-08-09</x:v>
      </x:c>
      <x:c r="AE16" s="44" t="str">
        <x:v>Current</x:v>
      </x:c>
      <x:c r="AF16" s="44" t="str">
        <x:v>Cybercriminal claim; ultimate customer / sponsorship open.</x:v>
      </x:c>
      <x:c r="AG16" s="44" t="str">
        <x:v>Other / established</x:v>
      </x:c>
      <x:c r="AH16" s="44" t="str">
        <x:v>Not reported / not applicable.</x:v>
      </x:c>
      <x:c r="AI16" s="44" t="str">
        <x:v>Government enterprise IT / public-service dependency</x:v>
      </x:c>
      <x:c r="AJ16" s="44" t="str">
        <x:v>⚪ Open / not established.</x:v>
      </x:c>
      <x:c r="AK16" s="44" t="str">
        <x:v>⚪ Open; inclusion and recurrence do not establish one strategic campaign.</x:v>
      </x:c>
      <x:c r="AL16" s="44" t="str">
        <x:v>Civilian / protected-function relevance; legal character and military-objective status require incident-specific analysis.</x:v>
      </x:c>
      <x:c r="AM16" s="44" t="str">
        <x:v>Department for Education; Police National Legal Database: Large-scale loss of state-held data confidentiality; service disruption not the primary reported effect.</x:v>
      </x:c>
      <x:c r="AN16" s="44" t="str">
        <x:v>Source functions recorded in Sources and Source Tier; repeated coverage is not treated as independent corroboration.</x:v>
      </x:c>
    </x:row>
    <x:row r="17" ht="15" hidden="0" customHeight="1">
      <x:c r="A17" s="43" t="n">
        <x:v>46233</x:v>
      </x:c>
      <x:c r="B17" s="44" t="str">
        <x:v>Attribution assessment update</x:v>
      </x:c>
      <x:c r="C17" s="44" t="str">
        <x:v>Context</x:v>
      </x:c>
      <x:c r="D17" s="44" t="str">
        <x:v>United States — Minnesota</x:v>
      </x:c>
      <x:c r="E17" s="44" t="str">
        <x:v>Water and wastewater / operational technology</x:v>
      </x:c>
      <x:c r="F17" s="44" t="str">
        <x:v>Water / wastewater</x:v>
      </x:c>
      <x:c r="G17" s="44" t="str">
        <x:v>More than 30 Minnesota community water systems</x:v>
      </x:c>
      <x:c r="H17" s="44" t="str">
        <x:v>US and state officials were reported to believe the Minnesota attacks were probably the work of Iranian hackers; a separate WaterISAC communication reported by WIRED, drawing on Minnesota Fusion Center information, linked the activity to Iranian-affiliated actors.</x:v>
      </x:c>
      <x:c r="I17" s="44" t="str">
        <x:v>Attribution / intelligence record</x:v>
      </x:c>
      <x:c r="J17" s="44" t="str">
        <x:v>No new operational effect; attribution assessment strengthened.</x:v>
      </x:c>
      <x:c r="K17" s="44" t="str">
        <x:v>N/A</x:v>
      </x:c>
      <x:c r="L17" s="44" t="str">
        <x:v>Reported investigative assessment</x:v>
      </x:c>
      <x:c r="M17" s="44" t="str">
        <x:v>N/A</x:v>
      </x:c>
      <x:c r="N17" s="44" t="str">
        <x:v>Iranian / Iran-affiliated actor not publicly resolved to one operator</x:v>
      </x:c>
      <x:c r="O17" s="44" t="str">
        <x:v>Reported Iranian / Iran-affiliated responsibility; exact IRGC direction and operator identity not formally established.</x:v>
      </x:c>
      <x:c r="P17" s="44" t="str">
        <x:v>No formal public federal attribution.</x:v>
      </x:c>
      <x:c r="Q17" s="44" t="str">
        <x:v>🟢 Established as attribution event</x:v>
      </x:c>
      <x:c r="R17" s="44" t="str">
        <x:v>N/A</x:v>
      </x:c>
      <x:c r="S17" s="44" t="str">
        <x:v>🟡 Probable</x:v>
      </x:c>
      <x:c r="T17" s="44" t="str">
        <x:v>🟡 Probable for Minnesota/core cluster; wider propagation requires incident-level evidence</x:v>
      </x:c>
      <x:c r="U17" s="44" t="str">
        <x:v>🔴 Established campaign pattern</x:v>
      </x:c>
      <x:c r="V17" s="44" t="str">
        <x:v>Very high</x:v>
      </x:c>
      <x:c r="W17" s="44" t="str">
        <x:v>Probable for Minnesota/core wave</x:v>
      </x:c>
      <x:c r="X17" s="44" t="str">
        <x:v>Reported investigative assessment / state-fusion-centre-linked information</x:v>
      </x:c>
      <x:c r="Y17" s="44" t="str">
        <x:v>False flag or deliberate mimicry; multiple operators; unrelated exploitation of the same exposed OT.</x:v>
      </x:c>
      <x:c r="Z17" s="44" t="str">
        <x:v>Very high methodological and strategic significance</x:v>
      </x:c>
      <x:c r="AA17" s="44" t="str">
        <x:v>Assessment remained preliminary; no formal FBI/CISA/NSA/EPA attribution.</x:v>
      </x:c>
      <x:c r="AB17" s="44" t="str">
        <x:v>New York Times, 30 July 2026 | WIRED, 30 July 2026 | Minnesota IT Services, 28 July 2026</x:v>
      </x:c>
      <x:c r="AC17" s="44" t="str">
        <x:v>Tier 1 state source + Tier 3 high-quality reporting on officials / sector intelligence</x:v>
      </x:c>
      <x:c r="AD17" s="44" t="str">
        <x:v>2026-08-14</x:v>
      </x:c>
      <x:c r="AE17" s="44" t="str">
        <x:v>Updated</x:v>
      </x:c>
      <x:c r="AF17" s="44" t="str">
        <x:v>Unattributed/open → suspected Iran link → probable Iran-linked assessment at Minnesota/core-wave level; formal public federal attribution still absent.</x:v>
      </x:c>
      <x:c r="AG17" s="44" t="str">
        <x:v>Probable</x:v>
      </x:c>
      <x:c r="AH17" s="44" t="str">
        <x:v>Not reported / not applicable.</x:v>
      </x:c>
      <x:c r="AI17" s="44" t="str">
        <x:v>Internet-exposed OT / PLC exploitation</x:v>
      </x:c>
      <x:c r="AJ17" s="44" t="str">
        <x:v>🟠 Developing — recurring technique; multiple operators/copycats remain viable.</x:v>
      </x:c>
      <x:c r="AK17" s="44" t="str">
        <x:v>🟡 Probable for Minnesota/core wave; not inherited by every multi-state incident.</x:v>
      </x:c>
      <x:c r="AL17" s="44" t="str">
        <x:v>Civilian / protected-function relevance; legal character and military-objective status require incident-specific analysis.</x:v>
      </x:c>
      <x:c r="AM17" s="44" t="str">
        <x:v>More than 30 Minnesota community water systems: No new operational effect; attribution assessment strengthened.</x:v>
      </x:c>
      <x:c r="AN17" s="44" t="str">
        <x:v>Named-source reference requires URL normalisation at next review.</x:v>
      </x:c>
    </x:row>
    <x:row r="18" ht="15" hidden="0" customHeight="1">
      <x:c r="A18" s="43" t="n">
        <x:v>46233</x:v>
      </x:c>
      <x:c r="B18" s="44" t="str">
        <x:v>Campaign update</x:v>
      </x:c>
      <x:c r="C18" s="44" t="str">
        <x:v>Core</x:v>
      </x:c>
      <x:c r="D18" s="44" t="str">
        <x:v>United States — multi-state</x:v>
      </x:c>
      <x:c r="E18" s="44" t="str">
        <x:v>Water and wastewater / operational technology</x:v>
      </x:c>
      <x:c r="F18" s="44" t="str">
        <x:v>Water / wastewater</x:v>
      </x:c>
      <x:c r="G18" s="44" t="str">
        <x:v>Water and wastewater utilities in at least seven states</x:v>
      </x:c>
      <x:c r="H18" s="44" t="str">
        <x:v>CISA and FBI warned of a significant increase in attacks on water and wastewater control technology; utilities in at least seven states had reported incidents and some activity degraded water operations.</x:v>
      </x:c>
      <x:c r="I18" s="44" t="str">
        <x:v>OT / industrial control / PLCs</x:v>
      </x:c>
      <x:c r="J18" s="44" t="str">
        <x:v>Some incidents degraded operations; password changes, device disconnection, boil-water notices and sustained manual operations were reported in the wider warning.</x:v>
      </x:c>
      <x:c r="K18" s="44" t="str">
        <x:v>Operational effects included pressure loss and flooding in the wider campaign; no common contamination finding.</x:v>
      </x:c>
      <x:c r="L18" s="44" t="str">
        <x:v>Official warning / investigation</x:v>
      </x:c>
      <x:c r="M18" s="44" t="str">
        <x:v>N/A</x:v>
      </x:c>
      <x:c r="N18" s="44" t="str">
        <x:v>Unknown</x:v>
      </x:c>
      <x:c r="O18" s="44" t="str">
        <x:v>Iranian involvement suspected by investigators; methods consistent with previously documented Iranian-affiliated PLC activity.</x:v>
      </x:c>
      <x:c r="P18" s="44" t="str">
        <x:v>No definitive federal attribution of the entire current wave.</x:v>
      </x:c>
      <x:c r="Q18" s="44" t="str">
        <x:v>🟢 Established</x:v>
      </x:c>
      <x:c r="R18" s="44" t="str">
        <x:v>🟢 Established</x:v>
      </x:c>
      <x:c r="S18" s="44" t="str">
        <x:v>🟠 Suspected / developing</x:v>
      </x:c>
      <x:c r="T18" s="44" t="str">
        <x:v>🟢 Established multi-state recurrence; common sponsor unresolved</x:v>
      </x:c>
      <x:c r="U18" s="44" t="str">
        <x:v>🟠 Credible cluster</x:v>
      </x:c>
      <x:c r="V18" s="44" t="str">
        <x:v>Very high</x:v>
      </x:c>
      <x:c r="W18" s="44" t="str">
        <x:v>Suspected / unresolved</x:v>
      </x:c>
      <x:c r="X18" s="44" t="str">
        <x:v>Suspected</x:v>
      </x:c>
      <x:c r="Y18" s="44" t="str">
        <x:v>Multiple actors exploiting internet-exposed OT; opportunistic criminal or hacktivist activity; copycats.</x:v>
      </x:c>
      <x:c r="Z18" s="44" t="str">
        <x:v>High — multi-state essential civilian infrastructure campaign</x:v>
      </x:c>
      <x:c r="AA18" s="44" t="str">
        <x:v>No definitive federal attribution; no uniform safety effect.</x:v>
      </x:c>
      <x:c r="AB18" s="44" t="str">
        <x:v>https://www.reuters.com/world/us-cyber-defense-agency-warns-increased-hacker-targeting-water-utilities-2026-07-30/ | https://www.epa.gov/newsreleases/epa-fbi-cisa-nsa-issue-joint-cybersecurity-advisory-water-system-regarding-iranian</x:v>
      </x:c>
      <x:c r="AC18" s="44" t="str">
        <x:v>Tier 1 official advisory + Tier 3 Reuters</x:v>
      </x:c>
      <x:c r="AD18" s="44" t="str">
        <x:v>2026-08-09</x:v>
      </x:c>
      <x:c r="AE18" s="44" t="str">
        <x:v>Updated</x:v>
      </x:c>
      <x:c r="AF18" s="44" t="str">
        <x:v>Pattern widened from Minnesota to at least seven states; attribution remained suspected rather than formal.</x:v>
      </x:c>
      <x:c r="AG18" s="44" t="str">
        <x:v>Suspected</x:v>
      </x:c>
      <x:c r="AH18" s="44" t="str">
        <x:v>Reported within incident/campaign; see operational-effect field.</x:v>
      </x:c>
      <x:c r="AI18" s="44" t="str">
        <x:v>Internet-exposed OT / PLC exploitation</x:v>
      </x:c>
      <x:c r="AJ18" s="44" t="str">
        <x:v>🟠 Developing — recurring technique; multiple operators/copycats remain viable.</x:v>
      </x:c>
      <x:c r="AK18" s="44" t="str">
        <x:v>🟡 Probable for Minnesota/core wave; not inherited by every multi-state incident.</x:v>
      </x:c>
      <x:c r="AL18" s="44" t="str">
        <x:v>Civilian / protected-function relevance; legal character and military-objective status require incident-specific analysis.</x:v>
      </x:c>
      <x:c r="AM18" s="44" t="str">
        <x:v>Water and wastewater utilities in at least seven states: Some incidents degraded operations; password changes, device disconnection, boil-water notices and sustained manual operations were reported in the wider warning.</x:v>
      </x:c>
      <x:c r="AN18" s="44" t="str">
        <x:v>Source functions recorded in Sources and Source Tier; repeated coverage is not treated as independent corroboration.</x:v>
      </x:c>
    </x:row>
    <x:row r="19" ht="15" hidden="0" customHeight="1">
      <x:c r="A19" s="43" t="n">
        <x:v>46234</x:v>
      </x:c>
      <x:c r="B19" s="44" t="str">
        <x:v>Attribution / public-position update</x:v>
      </x:c>
      <x:c r="C19" s="44" t="str">
        <x:v>Context</x:v>
      </x:c>
      <x:c r="D19" s="44" t="str">
        <x:v>United States</x:v>
      </x:c>
      <x:c r="E19" s="44" t="str">
        <x:v>Water and wastewater / operational technology</x:v>
      </x:c>
      <x:c r="F19" s="44" t="str">
        <x:v>Water / wastewater</x:v>
      </x:c>
      <x:c r="G19" s="44" t="str">
        <x:v>Minnesota and wider water campaign</x:v>
      </x:c>
      <x:c r="H19" s="44" t="str">
        <x:v>President Trump publicly said he did not believe Iran was responsible for the Minnesota cyberattack, while federal investigators and reporting continued to examine an Iranian link and the FBI had not formally attributed the campaign.</x:v>
      </x:c>
      <x:c r="I19" s="44" t="str">
        <x:v>Public attribution / policy record</x:v>
      </x:c>
      <x:c r="J19" s="44" t="str">
        <x:v>No new operational effect; this row records a contested public attribution position.</x:v>
      </x:c>
      <x:c r="K19" s="44" t="str">
        <x:v>N/A</x:v>
      </x:c>
      <x:c r="L19" s="44" t="str">
        <x:v>Public political statement</x:v>
      </x:c>
      <x:c r="M19" s="44" t="str">
        <x:v>N/A</x:v>
      </x:c>
      <x:c r="N19" s="44" t="str">
        <x:v>Unknown</x:v>
      </x:c>
      <x:c r="O19" s="44" t="str">
        <x:v>Competing public/investigative signals; no formal agency attribution.</x:v>
      </x:c>
      <x:c r="P19" s="44" t="str">
        <x:v>No formal agency attribution; presidential statement rejected Iran responsibility.</x:v>
      </x:c>
      <x:c r="Q19" s="44" t="str">
        <x:v>🟢 Established as public-position event</x:v>
      </x:c>
      <x:c r="R19" s="44" t="str">
        <x:v>N/A</x:v>
      </x:c>
      <x:c r="S19" s="44" t="str">
        <x:v>⚪ Open</x:v>
      </x:c>
      <x:c r="T19" s="44" t="str">
        <x:v>N/A</x:v>
      </x:c>
      <x:c r="U19" s="44" t="str">
        <x:v>🔴 Pattern may exist independently of sponsor</x:v>
      </x:c>
      <x:c r="V19" s="44" t="str">
        <x:v>High — demonstrates public/private attribution gap</x:v>
      </x:c>
      <x:c r="W19" s="44" t="str">
        <x:v>Open / contested</x:v>
      </x:c>
      <x:c r="X19" s="44" t="str">
        <x:v>Open</x:v>
      </x:c>
      <x:c r="Y19" s="44" t="str">
        <x:v>Political interpretation may differ from technical investigation; incident may involve unrelated or multiple actors.</x:v>
      </x:c>
      <x:c r="Z19" s="44" t="str">
        <x:v>High methodological significance for attribution history</x:v>
      </x:c>
      <x:c r="AA19" s="44" t="str">
        <x:v>No formal FBI/CISA attribution of the current wave.</x:v>
      </x:c>
      <x:c r="AB19" s="44" t="str">
        <x:v>https://www.reuters.com/world/us/trump-says-iran-not-blame-minnesota-cyber-attack-2026-07-31/</x:v>
      </x:c>
      <x:c r="AC19" s="44" t="str">
        <x:v>Tier 3 reporting on public statement + agency position</x:v>
      </x:c>
      <x:c r="AD19" s="44" t="str">
        <x:v>2026-08-09</x:v>
      </x:c>
      <x:c r="AE19" s="44" t="str">
        <x:v>Current</x:v>
      </x:c>
      <x:c r="AF19" s="44" t="str">
        <x:v>Suspected Iran link in investigative reporting → presidential rejection → formal agency attribution still open.</x:v>
      </x:c>
      <x:c r="AG19" s="44" t="str">
        <x:v>Open / no evidence</x:v>
      </x:c>
      <x:c r="AH19" s="44" t="str">
        <x:v>Not reported / not applicable.</x:v>
      </x:c>
      <x:c r="AI19" s="44" t="str">
        <x:v>Internet-exposed OT / PLC exploitation</x:v>
      </x:c>
      <x:c r="AJ19" s="44" t="str">
        <x:v>🟠 Developing — recurring technique; multiple operators/copycats remain viable.</x:v>
      </x:c>
      <x:c r="AK19" s="44" t="str">
        <x:v>🟡 Probable for Minnesota/core wave; not inherited by every multi-state incident.</x:v>
      </x:c>
      <x:c r="AL19" s="44" t="str">
        <x:v>Civilian / protected-function relevance; legal character and military-objective status require incident-specific analysis.</x:v>
      </x:c>
      <x:c r="AM19" s="44" t="str">
        <x:v>Minnesota and wider water campaign: No new operational effect; this row records a contested public attribution position.</x:v>
      </x:c>
      <x:c r="AN19" s="44" t="str">
        <x:v>Source functions recorded in Sources and Source Tier; repeated coverage is not treated as independent corroboration.</x:v>
      </x:c>
    </x:row>
    <x:row r="20" ht="15" hidden="0" customHeight="1">
      <x:c r="A20" s="43" t="n">
        <x:v>46235</x:v>
      </x:c>
      <x:c r="B20" s="44" t="str">
        <x:v>Cyber incident cluster</x:v>
      </x:c>
      <x:c r="C20" s="44" t="str">
        <x:v>Core</x:v>
      </x:c>
      <x:c r="D20" s="44" t="str">
        <x:v>United States — Michigan</x:v>
      </x:c>
      <x:c r="E20" s="44" t="str">
        <x:v>Water and wastewater / operational technology</x:v>
      </x:c>
      <x:c r="F20" s="44" t="str">
        <x:v>Water / wastewater</x:v>
      </x:c>
      <x:c r="G20" s="44" t="str">
        <x:v>Nine Michigan water systems</x:v>
      </x:c>
      <x:c r="H20" s="44" t="str">
        <x:v>Michigan reported cyberattacks on nine water systems after a federal cyber alert about attempts to tamper with water-sector operational technology. State officials said all affected systems continued to operate safely.</x:v>
      </x:c>
      <x:c r="I20" s="44" t="str">
        <x:v>OT / remote monitoring and control</x:v>
      </x:c>
      <x:c r="J20" s="44" t="str">
        <x:v>Issues were addressed by local operators; systems continued operating safely.</x:v>
      </x:c>
      <x:c r="K20" s="44" t="str">
        <x:v>No known public-health impact.</x:v>
      </x:c>
      <x:c r="L20" s="44" t="str">
        <x:v>Official state reporting / FBI investigation</x:v>
      </x:c>
      <x:c r="M20" s="44" t="str">
        <x:v>N/A</x:v>
      </x:c>
      <x:c r="N20" s="44" t="str">
        <x:v>Unknown</x:v>
      </x:c>
      <x:c r="O20" s="44" t="str">
        <x:v>Activity described as consistent with federal alerts; Iranian interest in the sector was known, but FBI had not identified a culprit.</x:v>
      </x:c>
      <x:c r="P20" s="44" t="str">
        <x:v>None.</x:v>
      </x:c>
      <x:c r="Q20" s="44" t="str">
        <x:v>🟢 Established</x:v>
      </x:c>
      <x:c r="R20" s="44" t="str">
        <x:v>🟢 Established</x:v>
      </x:c>
      <x:c r="S20" s="44" t="str">
        <x:v>⚪ Open</x:v>
      </x:c>
      <x:c r="T20" s="44" t="str">
        <x:v>🟡 Probable relationship to broader water OT wave</x:v>
      </x:c>
      <x:c r="U20" s="44" t="str">
        <x:v>🟠 Credible cluster</x:v>
      </x:c>
      <x:c r="V20" s="44" t="str">
        <x:v>Very high</x:v>
      </x:c>
      <x:c r="W20" s="44" t="str">
        <x:v>Open; Iranian involvement not formally attributed</x:v>
      </x:c>
      <x:c r="X20" s="44" t="str">
        <x:v>Open</x:v>
      </x:c>
      <x:c r="Y20" s="44" t="str">
        <x:v>Same exposed technology exploited by unrelated actors; opportunistic activity; broader criminal/hacktivist wave.</x:v>
      </x:c>
      <x:c r="Z20" s="44" t="str">
        <x:v>High pattern significance; limited reported local consequence</x:v>
      </x:c>
      <x:c r="AA20" s="44" t="str">
        <x:v>All systems reportedly operated safely; no known public-health impact.</x:v>
      </x:c>
      <x:c r="AB20" s="44" t="str">
        <x:v>https://apnews.com/article/77d52a1d7356e608500a1ddb0ec373a6 | https://www.michigan.gov/egle/about/organization/drinking-water-and-environmental-health/drinking-water/cybersecurity</x:v>
      </x:c>
      <x:c r="AC20" s="44" t="str">
        <x:v>Tier 1 state + Tier 3 AP</x:v>
      </x:c>
      <x:c r="AD20" s="44" t="str">
        <x:v>2026-08-09</x:v>
      </x:c>
      <x:c r="AE20" s="44" t="str">
        <x:v>Current</x:v>
      </x:c>
      <x:c r="AF20" s="44" t="str">
        <x:v>FBI investigation open; no culprit publicly identified.</x:v>
      </x:c>
      <x:c r="AG20" s="44" t="str">
        <x:v>Open / no evidence</x:v>
      </x:c>
      <x:c r="AH20" s="44" t="str">
        <x:v>Not reported / not applicable.</x:v>
      </x:c>
      <x:c r="AI20" s="44" t="str">
        <x:v>Internet-exposed OT / PLC exploitation</x:v>
      </x:c>
      <x:c r="AJ20" s="44" t="str">
        <x:v>🟠 Developing — recurring technique; multiple operators/copycats remain viable.</x:v>
      </x:c>
      <x:c r="AK20" s="44" t="str">
        <x:v>🟡 Probable for Minnesota/core wave; not inherited by every multi-state incident.</x:v>
      </x:c>
      <x:c r="AL20" s="44" t="str">
        <x:v>Civilian / protected-function relevance; legal character and military-objective status require incident-specific analysis.</x:v>
      </x:c>
      <x:c r="AM20" s="44" t="str">
        <x:v>Nine Michigan water systems: Issues were addressed by local operators; systems continued operating safely.</x:v>
      </x:c>
      <x:c r="AN20" s="44" t="str">
        <x:v>Source functions recorded in Sources and Source Tier; repeated coverage is not treated as independent corroboration.</x:v>
      </x:c>
    </x:row>
    <x:row r="21" ht="15" hidden="0" customHeight="1">
      <x:c r="A21" s="43" t="n">
        <x:v>46236</x:v>
      </x:c>
      <x:c r="B21" s="44" t="str">
        <x:v>Attribution governance update</x:v>
      </x:c>
      <x:c r="C21" s="44" t="str">
        <x:v>Context</x:v>
      </x:c>
      <x:c r="D21" s="44" t="str">
        <x:v>United States — multi-state</x:v>
      </x:c>
      <x:c r="E21" s="44" t="str">
        <x:v>Water and wastewater / operational technology</x:v>
      </x:c>
      <x:c r="F21" s="44" t="str">
        <x:v>Water / wastewater</x:v>
      </x:c>
      <x:c r="G21" s="44" t="str">
        <x:v>Widening US water-sector campaign</x:v>
      </x:c>
      <x:c r="H21" s="44" t="str">
        <x:v>High-quality reporting on the widening campaign said US intelligence agencies assessed Iranian actors were highly likely responsible, while President Trump had publicly rejected the Iran explanation and federal agencies had not issued a formal public attribution.</x:v>
      </x:c>
      <x:c r="I21" s="44" t="str">
        <x:v>Attribution / intelligence / governance record</x:v>
      </x:c>
      <x:c r="J21" s="44" t="str">
        <x:v>No new operational effect in this row.</x:v>
      </x:c>
      <x:c r="K21" s="44" t="str">
        <x:v>N/A</x:v>
      </x:c>
      <x:c r="L21" s="44" t="str">
        <x:v>Reported intelligence assessment + contrary political statement</x:v>
      </x:c>
      <x:c r="M21" s="44" t="str">
        <x:v>N/A</x:v>
      </x:c>
      <x:c r="N21" s="44" t="str">
        <x:v>Iranian actors assessed likely; exact operator unresolved publicly</x:v>
      </x:c>
      <x:c r="O21" s="44" t="str">
        <x:v>Reported intelligence assessment materially favours Iranian responsibility; state-direction granularity remains unresolved publicly.</x:v>
      </x:c>
      <x:c r="P21" s="44" t="str">
        <x:v>No formal public FBI/CISA/NSA/EPA attribution; presidential statement rejected Iran responsibility.</x:v>
      </x:c>
      <x:c r="Q21" s="44" t="str">
        <x:v>🟢 Established as public-record conflict</x:v>
      </x:c>
      <x:c r="R21" s="44" t="str">
        <x:v>N/A</x:v>
      </x:c>
      <x:c r="S21" s="44" t="str">
        <x:v>🟡 Probable</x:v>
      </x:c>
      <x:c r="T21" s="44" t="str">
        <x:v>🟡 Probable for core wave; mixed/open for all incidents</x:v>
      </x:c>
      <x:c r="U21" s="44" t="str">
        <x:v>🔴 Established campaign pattern</x:v>
      </x:c>
      <x:c r="V21" s="44" t="str">
        <x:v>Very high</x:v>
      </x:c>
      <x:c r="W21" s="44" t="str">
        <x:v>Probable for core wave; not inherited by every incident</x:v>
      </x:c>
      <x:c r="X21" s="44" t="str">
        <x:v>Reported intelligence assessment</x:v>
      </x:c>
      <x:c r="Y21" s="44" t="str">
        <x:v>Multiple actors / copycats / criminal exploitation may coexist with an Iran-linked core wave.</x:v>
      </x:c>
      <x:c r="Z21" s="44" t="str">
        <x:v>Very high — evidentiary assessment and politically publishable assessment diverge</x:v>
      </x:c>
      <x:c r="AA21" s="44" t="str">
        <x:v>No reviewed formal public federal attribution of the whole campaign.</x:v>
      </x:c>
      <x:c r="AB21" s="44" t="str">
        <x:v>New York Times reporting on widening water campaign, early August 2026 | Reuters, 31 July 2026</x:v>
      </x:c>
      <x:c r="AC21" s="44" t="str">
        <x:v>Tier 3 high-quality reporting on intelligence / official assessments</x:v>
      </x:c>
      <x:c r="AD21" s="44" t="str">
        <x:v>2026-08-14</x:v>
      </x:c>
      <x:c r="AE21" s="44" t="str">
        <x:v>Updated</x:v>
      </x:c>
      <x:c r="AF21" s="44" t="str">
        <x:v>Reported investigative suspicion → reported probable assessment → reported high-likelihood intelligence assessment; presidential rejection remains a competing public position.</x:v>
      </x:c>
      <x:c r="AG21" s="44" t="str">
        <x:v>Probable</x:v>
      </x:c>
      <x:c r="AH21" s="44" t="str">
        <x:v>Not reported / not applicable.</x:v>
      </x:c>
      <x:c r="AI21" s="44" t="str">
        <x:v>Internet-exposed OT / PLC exploitation</x:v>
      </x:c>
      <x:c r="AJ21" s="44" t="str">
        <x:v>🟠 Developing — recurring technique; multiple operators/copycats remain viable.</x:v>
      </x:c>
      <x:c r="AK21" s="44" t="str">
        <x:v>🟡 Probable for Minnesota/core wave; not inherited by every multi-state incident.</x:v>
      </x:c>
      <x:c r="AL21" s="44" t="str">
        <x:v>Civilian / protected-function relevance; legal character and military-objective status require incident-specific analysis.</x:v>
      </x:c>
      <x:c r="AM21" s="44" t="str">
        <x:v>Widening US water-sector campaign: No new operational effect in this row.</x:v>
      </x:c>
      <x:c r="AN21" s="44" t="str">
        <x:v>Named-source reference requires URL normalisation at next review.</x:v>
      </x:c>
    </x:row>
    <x:row r="22" ht="15" hidden="0" customHeight="1">
      <x:c r="A22" s="43" t="n">
        <x:v>46238</x:v>
      </x:c>
      <x:c r="B22" s="44" t="str">
        <x:v>Campaign expansion</x:v>
      </x:c>
      <x:c r="C22" s="44" t="str">
        <x:v>Core</x:v>
      </x:c>
      <x:c r="D22" s="44" t="str">
        <x:v>United States — at least 12 states</x:v>
      </x:c>
      <x:c r="E22" s="44" t="str">
        <x:v>Water and wastewater / operational technology</x:v>
      </x:c>
      <x:c r="F22" s="44" t="str">
        <x:v>Water / wastewater</x:v>
      </x:c>
      <x:c r="G22" s="44" t="str">
        <x:v>Municipal water and wastewater utilities</x:v>
      </x:c>
      <x:c r="H22" s="44" t="str">
        <x:v>Reporting widened the known footprint of the water-sector cyber activity to at least 12 states, making the recurrence itself a nationally distributed campaign-level phenomenon.</x:v>
      </x:c>
      <x:c r="I22" s="44" t="str">
        <x:v>OT / PLC / remote-control systems</x:v>
      </x:c>
      <x:c r="J22" s="44" t="str">
        <x:v>Effects varied by utility; wider campaign included lockouts, settings changes, manual operation, pressure disruption and temporary outages.</x:v>
      </x:c>
      <x:c r="K22" s="44" t="str">
        <x:v>No general contamination finding; physical-process effects were documented at some facilities, not all.</x:v>
      </x:c>
      <x:c r="L22" s="44" t="str">
        <x:v>Campaign-level reporting</x:v>
      </x:c>
      <x:c r="M22" s="44" t="str">
        <x:v>N/A</x:v>
      </x:c>
      <x:c r="N22" s="44" t="str">
        <x:v>Unknown / potentially multiple</x:v>
      </x:c>
      <x:c r="O22" s="44" t="str">
        <x:v>Iran remained a serious investigative hypothesis because of earlier Iranian-affiliated PLC activity, but common sponsorship was unresolved.</x:v>
      </x:c>
      <x:c r="P22" s="44" t="str">
        <x:v>No definitive public attribution of the whole current wave.</x:v>
      </x:c>
      <x:c r="Q22" s="44" t="str">
        <x:v>🟢 Established campaign expansion</x:v>
      </x:c>
      <x:c r="R22" s="44" t="str">
        <x:v>🟢 Established that operational effects occurred somewhere in campaign</x:v>
      </x:c>
      <x:c r="S22" s="44" t="str">
        <x:v>🟠 Suspected / developing</x:v>
      </x:c>
      <x:c r="T22" s="44" t="str">
        <x:v>🟢 Established recurrence; common operator/customer open</x:v>
      </x:c>
      <x:c r="U22" s="44" t="str">
        <x:v>🔴 Established campaign pattern</x:v>
      </x:c>
      <x:c r="V22" s="44" t="str">
        <x:v>Very high</x:v>
      </x:c>
      <x:c r="W22" s="44" t="str">
        <x:v>Suspected / unresolved</x:v>
      </x:c>
      <x:c r="X22" s="44" t="str">
        <x:v>Suspected</x:v>
      </x:c>
      <x:c r="Y22" s="44" t="str">
        <x:v>Several operators exploiting the same exposed technology; copycats; criminal/hacktivist activity; shared vulnerabilities.</x:v>
      </x:c>
      <x:c r="Z22" s="44" t="str">
        <x:v>Very high national-resilience significance</x:v>
      </x:c>
      <x:c r="AA22" s="44" t="str">
        <x:v>Drinking water remained safe in reported affected regions; no uniform effect across all utilities.</x:v>
      </x:c>
      <x:c r="AB22" s="44" t="str">
        <x:v>https://www.axios.com/2026/08/04/water-cyberattacks-us-iran | https://apnews.com/article/77d52a1d7356e608500a1ddb0ec373a6 | https://www.epa.gov/newsreleases/epa-fbi-cisa-nsa-issue-joint-cybersecurity-advisory-water-system-regarding-iranian</x:v>
      </x:c>
      <x:c r="AC22" s="44" t="str">
        <x:v>Tier 1 official background + Tier 3 reporting</x:v>
      </x:c>
      <x:c r="AD22" s="44" t="str">
        <x:v>2026-08-09</x:v>
      </x:c>
      <x:c r="AE22" s="44" t="str">
        <x:v>Current</x:v>
      </x:c>
      <x:c r="AF22" s="44" t="str">
        <x:v>Pattern confidence upgraded to established; sponsor confidence remained below confirmation.</x:v>
      </x:c>
      <x:c r="AG22" s="44" t="str">
        <x:v>Suspected</x:v>
      </x:c>
      <x:c r="AH22" s="44" t="str">
        <x:v>Reported within incident/campaign; see operational-effect field.</x:v>
      </x:c>
      <x:c r="AI22" s="44" t="str">
        <x:v>Internet-exposed OT / PLC exploitation</x:v>
      </x:c>
      <x:c r="AJ22" s="44" t="str">
        <x:v>🟠 Developing — recurring technique; multiple operators/copycats remain viable.</x:v>
      </x:c>
      <x:c r="AK22" s="44" t="str">
        <x:v>🟡 Probable for Minnesota/core wave; not inherited by every multi-state incident.</x:v>
      </x:c>
      <x:c r="AL22" s="44" t="str">
        <x:v>Civilian / protected-function relevance; legal character and military-objective status require incident-specific analysis.</x:v>
      </x:c>
      <x:c r="AM22" s="44" t="str">
        <x:v>Municipal water and wastewater utilities: Effects varied by utility; wider campaign included lockouts, settings changes, manual operation, pressure disruption and temporary outages.</x:v>
      </x:c>
      <x:c r="AN22" s="44" t="str">
        <x:v>Source functions recorded in Sources and Source Tier; repeated coverage is not treated as independent corroboration.</x:v>
      </x:c>
    </x:row>
    <x:row r="23" ht="15" hidden="0" customHeight="1">
      <x:c r="A23" s="43" t="n">
        <x:v>46240</x:v>
      </x:c>
      <x:c r="B23" s="44" t="str">
        <x:v>Cybercrime campaign / targeting</x:v>
      </x:c>
      <x:c r="C23" s="44" t="str">
        <x:v>Core</x:v>
      </x:c>
      <x:c r="D23" s="44" t="str">
        <x:v>United States</x:v>
      </x:c>
      <x:c r="E23" s="44" t="str">
        <x:v>Financial services / financial market infrastructure</x:v>
      </x:c>
      <x:c r="F23" s="44" t="str">
        <x:v>Financial services</x:v>
      </x:c>
      <x:c r="G23" s="44" t="str">
        <x:v>Major private-equity firms, hedge funds, ratings agencies and CME Group among targets</x:v>
      </x:c>
      <x:c r="H23" s="44" t="str">
        <x:v>Reuters identified a coordinated vishing / credential-harvesting campaign targeting dozens of major US financial firms and other companies. Google tracks the underlying extortion activity as UNC6671 / BlackFile-related and described high-volume voice phishing, SSO compromise and data theft for extortion.</x:v>
      </x:c>
      <x:c r="I23" s="44" t="str">
        <x:v>Identity / SSO / cloud SaaS / enterprise data</x:v>
      </x:c>
      <x:c r="J23" s="44" t="str">
        <x:v>Targeting was extensive; successful compromises occurred within the broader UNC6671 campaign, but Reuters could not establish that every named financial target was successfully breached. No market-wide operational disruption was reported.</x:v>
      </x:c>
      <x:c r="K23" s="44" t="str">
        <x:v>Potential credential compromise and data theft; impact varied by victim.</x:v>
      </x:c>
      <x:c r="L23" s="44" t="str">
        <x:v>Technical campaign attribution / reporting</x:v>
      </x:c>
      <x:c r="M23" s="44" t="str">
        <x:v>BlackFile-related aliases / extortion operators</x:v>
      </x:c>
      <x:c r="N23" s="44" t="str">
        <x:v>UNC6671 / BlackFile-related criminal extortion ecosystem</x:v>
      </x:c>
      <x:c r="O23" s="44" t="str">
        <x:v>No public state relationship established for this campaign.</x:v>
      </x:c>
      <x:c r="P23" s="44" t="str">
        <x:v>None.</x:v>
      </x:c>
      <x:c r="Q23" s="44" t="str">
        <x:v>🟢 Established targeting campaign</x:v>
      </x:c>
      <x:c r="R23" s="44" t="str">
        <x:v>🟠 Developing for named targets</x:v>
      </x:c>
      <x:c r="S23" s="44" t="str">
        <x:v>🟢 Established as criminal extortion cluster; ⚪ Open for any state customer</x:v>
      </x:c>
      <x:c r="T23" s="44" t="str">
        <x:v>🟢 Established criminal campaign pattern</x:v>
      </x:c>
      <x:c r="U23" s="44" t="str">
        <x:v>🔴 Established cybercrime campaign pattern</x:v>
      </x:c>
      <x:c r="V23" s="44" t="str">
        <x:v>Moderate — systemic finance perimeter during wartime, but no positive Iran evidence</x:v>
      </x:c>
      <x:c r="W23" s="44" t="str">
        <x:v>⚪ Open / no public evidence of Iran involvement</x:v>
      </x:c>
      <x:c r="X23" s="44" t="str">
        <x:v>Open</x:v>
      </x:c>
      <x:c r="Y23" s="44" t="str">
        <x:v>Straightforward financially motivated cybercrime is the leading explanation; later resale or tasking cannot be inferred without evidence.</x:v>
      </x:c>
      <x:c r="Z23" s="44" t="str">
        <x:v>High targeting significance; systemically important financial-market organisations among targets; no reported systemic outage</x:v>
      </x:c>
      <x:c r="AA23" s="44" t="str">
        <x:v>No public Iran attribution; no established market-wide disruption; not every named target was confirmed compromised.</x:v>
      </x:c>
      <x:c r="AB23" s="44" t="str">
        <x:v>https://www.reuters.com/world/hackers-targeted-us-private-equity-other-firms-including-blackstone-cme-data-2026-08-06/ | https://cloud.google.com/blog/topics/threat-intelligence/blackfile-vishing-extortion-operation/</x:v>
      </x:c>
      <x:c r="AC23" s="44" t="str">
        <x:v>Tier 2 primary technical research + Tier 3 Reuters target identification</x:v>
      </x:c>
      <x:c r="AD23" s="44" t="str">
        <x:v>2026-08-09</x:v>
      </x:c>
      <x:c r="AE23" s="44" t="str">
        <x:v>Current</x:v>
      </x:c>
      <x:c r="AF23" s="44" t="str">
        <x:v>Criminal extortion attribution strong; ultimate customer/state-use question remains analytically separate and unsupported.</x:v>
      </x:c>
      <x:c r="AG23" s="44" t="str">
        <x:v>Open / no evidence</x:v>
      </x:c>
      <x:c r="AH23" s="44" t="str">
        <x:v>Not reported / not applicable.</x:v>
      </x:c>
      <x:c r="AI23" s="44" t="str">
        <x:v>Identity compromise / vishing / extortion</x:v>
      </x:c>
      <x:c r="AJ23" s="44" t="str">
        <x:v>🟡 Probable cluster continuity; common operator not assumed.</x:v>
      </x:c>
      <x:c r="AK23" s="44" t="str">
        <x:v>⚪ Open; inclusion and recurrence do not establish one strategic campaign.</x:v>
      </x:c>
      <x:c r="AL23" s="44" t="str">
        <x:v>No automatic IHL conclusion from sector or wartime timing.</x:v>
      </x:c>
      <x:c r="AM23" s="44" t="str">
        <x:v>Major private-equity firms, hedge funds, ratings agencies and CME Group among targets: Targeting was extensive; successful compromises occurred within the broader UNC6671 campaign, but Reuters could not establish that every named financial target was successfully breached. No market-wide operational disruption was reported.</x:v>
      </x:c>
      <x:c r="AN23" s="44" t="str">
        <x:v>Source functions recorded in Sources and Source Tier; repeated coverage is not treated as independent corroboration.</x:v>
      </x:c>
    </x:row>
    <x:row r="24" ht="21.600000381469727" hidden="0" customHeight="1">
      <x:c r="A24" s="43" t="n">
        <x:v>46241</x:v>
      </x:c>
      <x:c r="B24" s="44" t="str">
        <x:v>Cyber incident</x:v>
      </x:c>
      <x:c r="C24" s="44" t="str">
        <x:v>Core</x:v>
      </x:c>
      <x:c r="D24" s="44" t="str">
        <x:v>United States — California</x:v>
      </x:c>
      <x:c r="E24" s="44" t="str">
        <x:v>Local government administration / public safety</x:v>
      </x:c>
      <x:c r="F24" s="44" t="str">
        <x:v>Government / administration</x:v>
      </x:c>
      <x:c r="G24" s="44" t="str">
        <x:v>Suisun City</x:v>
      </x:c>
      <x:c r="H24" s="44" t="str">
        <x:v>Malicious software compromised city IT, prompting shutdown of the network, a local state of emergency and federal/state investigative support. A later city-council closed session considered a demand from the perpetrators.</x:v>
      </x:c>
      <x:c r="I24" s="44" t="str">
        <x:v>Municipal enterprise IT / 911 routing / police and fire dispatch / records</x:v>
      </x:c>
      <x:c r="J24" s="44" t="str">
        <x:v>City Hall and multiple departments closed or suspended services; 911 and dispatch were rerouted through Solano County while police and fire response continued.</x:v>
      </x:c>
      <x:c r="K24" s="44" t="str">
        <x:v>No imminent public-safety threat reported; personal-data theft was not established in reviewed public reporting.</x:v>
      </x:c>
      <x:c r="L24" s="44" t="str">
        <x:v>Officially reported incident; extortion demand reported</x:v>
      </x:c>
      <x:c r="M24" s="44" t="str">
        <x:v>Unknown</x:v>
      </x:c>
      <x:c r="N24" s="44" t="str">
        <x:v>Unknown</x:v>
      </x:c>
      <x:c r="O24" s="44" t="str">
        <x:v>None publicly established.</x:v>
      </x:c>
      <x:c r="P24" s="44" t="str">
        <x:v>None; FBI/DHS/state investigation.</x:v>
      </x:c>
      <x:c r="Q24" s="44" t="str">
        <x:v>🟢 Established</x:v>
      </x:c>
      <x:c r="R24" s="44" t="str">
        <x:v>🟢 Established</x:v>
      </x:c>
      <x:c r="S24" s="44" t="str">
        <x:v>🟠 Suspected criminal/extortion; operator open</x:v>
      </x:c>
      <x:c r="T24" s="44" t="str">
        <x:v>🟠 Developing criminal/extortion explanation; no evidence of Iran.</x:v>
      </x:c>
      <x:c r="U24" s="44" t="str">
        <x:v>🟠 Credible US local-government disruption cluster</x:v>
      </x:c>
      <x:c r="V24" s="44" t="str">
        <x:v>Moderate — essential public-safety administration in a direct-belligerent state; emerging extortion evidence weakens a common Iran-campaign inference.</x:v>
      </x:c>
      <x:c r="W24" s="44" t="str">
        <x:v>⚪ No evidence found</x:v>
      </x:c>
      <x:c r="X24" s="44" t="str">
        <x:v>Open / no public Iran evidence</x:v>
      </x:c>
      <x:c r="Y24" s="44" t="str">
        <x:v>Financially motivated ransomware/extortion is the leading developing explanation; unrelated municipal cybercrime.</x:v>
      </x:c>
      <x:c r="Z24" s="44" t="str">
        <x:v>High local public-service continuity significance; resilience through cross-jurisdictional dispatch fallback.</x:v>
      </x:c>
      <x:c r="AA24" s="44" t="str">
        <x:v>No public Iran link; exact malware/operator undisclosed; no confirmed personal-data theft; public-safety response continued.</x:v>
      </x:c>
      <x:c r="AB24" s="44" t="str">
        <x:v>https://www.suisun.com/Community/20260807Cybersecurity-Incident-Updates | https://www.sfchronicle.com/bayarea/article/suisun-city-cyberattack-demand-22384401.php | https://www.cbsnews.com/sacramento/news/suisun-city-malware-cyberattack-2nd-emergency-meeting/</x:v>
      </x:c>
      <x:c r="AC24" s="44" t="str">
        <x:v>Tier 1 affected authority + Tier 3 local/regional reporting</x:v>
      </x:c>
      <x:c r="AD24" s="44" t="str">
        <x:v>2026-08-16</x:v>
      </x:c>
      <x:c r="AE24" s="44" t="str">
        <x:v>New</x:v>
      </x:c>
      <x:c r="AF24" s="44" t="str">
        <x:v>2026-08-07 operator unknown → 2026-08-11 perpetrator demand reported, moving motive toward suspected criminal/extortion while authorship remains open.</x:v>
      </x:c>
      <x:c r="AG24" s="44" t="str">
        <x:v>Open / no evidence</x:v>
      </x:c>
      <x:c r="AH24" s="44" t="str">
        <x:v>911/dispatch rerouted to Solano County; police and fire services continued.</x:v>
      </x:c>
      <x:c r="AI24" s="44" t="str">
        <x:v>Municipal enterprise-IT exposure / public-safety dependency / extortion</x:v>
      </x:c>
      <x:c r="AJ24" s="44" t="str">
        <x:v>⚪ Open; cluster does not establish a common operator.</x:v>
      </x:c>
      <x:c r="AK24" s="44" t="str">
        <x:v>⚪ Open; heterogeneous local-government incidents are not one Iran campaign on current evidence.</x:v>
      </x:c>
      <x:c r="AL24" s="44" t="str">
        <x:v>Civilian public administration and emergency-response functions; no automatic legal conclusion from disruption alone.</x:v>
      </x:c>
      <x:c r="AM24" s="44" t="str">
        <x:v>Residents, emergency dispatchers, municipal staff and neighbouring jurisdictions carried service and fallback burdens.</x:v>
      </x:c>
      <x:c r="AN24" s="44" t="str">
        <x:v>Affected-city updates establish effect; separate local/regional reporting establishes the council demand and investigative context.</x:v>
      </x:c>
    </x:row>
    <x:row r="25" ht="15" hidden="0" customHeight="1">
      <x:c r="A25" s="43" t="n">
        <x:v>46246</x:v>
      </x:c>
      <x:c r="B25" s="44" t="str">
        <x:v>Attribution development</x:v>
      </x:c>
      <x:c r="C25" s="44" t="str">
        <x:v>Context</x:v>
      </x:c>
      <x:c r="D25" s="44" t="str">
        <x:v>United States — Minnesota</x:v>
      </x:c>
      <x:c r="E25" s="44" t="str">
        <x:v>Water and wastewater / operational technology</x:v>
      </x:c>
      <x:c r="F25" s="44" t="str">
        <x:v>Water / wastewater</x:v>
      </x:c>
      <x:c r="G25" s="44" t="str">
        <x:v>Minnesota/core water-system wave</x:v>
      </x:c>
      <x:c r="H25" s="44" t="str">
        <x:v>APT IRAN publicly claimed that the Minnesota attack was conducted jointly with CyberAv3ngers and accepted direct responsibility. The FBI and Minnesota authorities were reported aware of the posts but did not validate the claim.</x:v>
      </x:c>
      <x:c r="I25" s="44" t="str">
        <x:v>Attribution / actor-claim record</x:v>
      </x:c>
      <x:c r="J25" s="44" t="str">
        <x:v>No new operational effect; this row records a material change in the public attribution history.</x:v>
      </x:c>
      <x:c r="K25" s="44" t="str">
        <x:v>N/A</x:v>
      </x:c>
      <x:c r="L25" s="44" t="str">
        <x:v>📣 Actor-claimed</x:v>
      </x:c>
      <x:c r="M25" s="44" t="str">
        <x:v>APT IRAN / CyberAv3ngers</x:v>
      </x:c>
      <x:c r="N25" s="44" t="str">
        <x:v>Claimed APT IRAN + CyberAv3ngers; forensic corroboration not public.</x:v>
      </x:c>
      <x:c r="O25" s="44" t="str">
        <x:v>CyberAv3ngers has an established prior US-government-described IRGC affiliation; current-operation direction remains separately unproven.</x:v>
      </x:c>
      <x:c r="P25" s="44" t="str">
        <x:v>No formal FBI/CISA/NSA/EPA attribution of the July–August campaign; authorities did not publicly validate the claim.</x:v>
      </x:c>
      <x:c r="Q25" s="44" t="str">
        <x:v>🟢 Established as claim event</x:v>
      </x:c>
      <x:c r="R25" s="44" t="str">
        <x:v>N/A</x:v>
      </x:c>
      <x:c r="S25" s="44" t="str">
        <x:v>🟡 Probable for Iran-linked Minnesota/core wave; formal attribution absent</x:v>
      </x:c>
      <x:c r="T25" s="44" t="str">
        <x:v>Established prior CyberAv3ngers–IRGC relationship; current campaign state direction remains probable/developing rather than formally established.</x:v>
      </x:c>
      <x:c r="U25" s="44" t="str">
        <x:v>🔴 Established water-sector campaign pattern</x:v>
      </x:c>
      <x:c r="V25" s="44" t="str">
        <x:v>Very high — explicit responsibility claim framed as wartime warning by an actor ecosystem already tied to the IRGC in prior US reporting.</x:v>
      </x:c>
      <x:c r="W25" s="44" t="str">
        <x:v>Probable for Minnesota/core wave; actor claim strengthens but does not prove</x:v>
      </x:c>
      <x:c r="X25" s="44" t="str">
        <x:v>Reported intelligence assessment + aligned actor claim; formal public attribution absent</x:v>
      </x:c>
      <x:c r="Y25" s="44" t="str">
        <x:v>False or exaggerated claim; mimicry; partial responsibility; multiple operators/copycats; claim may cover Minnesota but not every multi-state incident.</x:v>
      </x:c>
      <x:c r="Z25" s="44" t="str">
        <x:v>Very high methodological and strategic significance; attribution ladder moved without reaching formal government attribution.</x:v>
      </x:c>
      <x:c r="AA25" s="44" t="str">
        <x:v>No public forensic validation; no formal campaign attribution; no proof every incident shares the claimed operator or customer.</x:v>
      </x:c>
      <x:c r="AB25" s="44" t="str">
        <x:v>https://kstp.com/kstp-news/top-news/hacking-group-linked-to-iran-claims-responsibility-for-cyberattack-on-minnesota-water-systems-report-says/ | https://www.linkedin.com/pulse/cyber-briefing-81226-au-mccrary-institute-7cfre | https://www.cisa.gov/news-events/cybersecurity-advisories/aa23-335a | https://www.washingtonpost.com/national-security/2026/07/30/us-spy-agencies-suspect-iran-launched-cyberattack-minnesota-water-facilities/</x:v>
      </x:c>
      <x:c r="AC25" s="44" t="str">
        <x:v>Primary actor claim relayed by academic threat briefing + Tier 3 local/national reporting + Tier 1 prior relationship attribution</x:v>
      </x:c>
      <x:c r="AD25" s="44" t="str">
        <x:v>2026-08-16</x:v>
      </x:c>
      <x:c r="AE25" s="44" t="str">
        <x:v>New attribution-history event</x:v>
      </x:c>
      <x:c r="AF25" s="44" t="str">
        <x:v>Investigative suspicion → reported intelligence assessment likely Iran → explicit APT IRAN/CyberAv3ngers responsibility claim; formal US campaign attribution still absent.</x:v>
      </x:c>
      <x:c r="AG25" s="44" t="str">
        <x:v>Probable</x:v>
      </x:c>
      <x:c r="AH25" s="44" t="str">
        <x:v>N/A — attribution record.</x:v>
      </x:c>
      <x:c r="AI25" s="44" t="str">
        <x:v>IRGC-affiliated actor ecosystem / public claim layered onto prior intelligence assessment</x:v>
      </x:c>
      <x:c r="AJ25" s="44" t="str">
        <x:v>🟡 Probable for Minnesota/core wave; open for the entire multi-state set.</x:v>
      </x:c>
      <x:c r="AK25" s="44" t="str">
        <x:v>🟡 Probable Iran-linked core wave within a wider heterogeneous attack surface.</x:v>
      </x:c>
      <x:c r="AL25" s="44" t="str">
        <x:v>Underlying targets are civilian water systems; legal attribution and operation-specific effects remain necessary for legal conclusions.</x:v>
      </x:c>
      <x:c r="AM25" s="44" t="str">
        <x:v>Utilities, residents, state/federal investigators and executive credibility are affected by the gap between public claim, intelligence assessment and formal attribution.</x:v>
      </x:c>
      <x:c r="AN25" s="44" t="str">
        <x:v>Actor claim, academic threat briefing, prior government affiliation record and independent reporting are separated; the claim is not treated as corroboration of itself.</x:v>
      </x:c>
    </x:row>
    <x:row r="26" ht="15" hidden="0" customHeight="1">
      <x:c r="A26" s="45" t="n">
        <x:v>46246</x:v>
      </x:c>
      <x:c r="B26" s="46" t="str">
        <x:v>Cyber incident</x:v>
      </x:c>
      <x:c r="C26" s="46" t="str">
        <x:v>Core</x:v>
      </x:c>
      <x:c r="D26" s="46" t="str">
        <x:v>United States — South Carolina</x:v>
      </x:c>
      <x:c r="E26" s="46" t="str">
        <x:v>Local government administration</x:v>
      </x:c>
      <x:c r="F26" s="46" t="str">
        <x:v>Government / administration</x:v>
      </x:c>
      <x:c r="G26" s="46" t="str">
        <x:v>Darlington County</x:v>
      </x:c>
      <x:c r="H26" s="46" t="str">
        <x:v>The county disclosed a cybersecurity incident affecting computer systems and limiting services. Some systems were proactively taken offline while external specialists and law enforcement assisted.</x:v>
      </x:c>
      <x:c r="I26" s="46" t="str">
        <x:v>County enterprise IT / telephony / administrative services</x:v>
      </x:c>
      <x:c r="J26" s="46" t="str">
        <x:v>Some county services and phone lines operated at limited capacity; emergency services and 911 receipt/dispatch remained operational.</x:v>
      </x:c>
      <x:c r="K26" s="46" t="str">
        <x:v>No public data-theft or physical-effect finding.</x:v>
      </x:c>
      <x:c r="L26" s="46" t="str">
        <x:v>Officially reported incident</x:v>
      </x:c>
      <x:c r="M26" s="46" t="str">
        <x:v>N/A</x:v>
      </x:c>
      <x:c r="N26" s="46" t="str">
        <x:v>Unknown</x:v>
      </x:c>
      <x:c r="O26" s="46" t="str">
        <x:v>None publicly established.</x:v>
      </x:c>
      <x:c r="P26" s="46" t="str">
        <x:v>None.</x:v>
      </x:c>
      <x:c r="Q26" s="46" t="str">
        <x:v>🟢 Established</x:v>
      </x:c>
      <x:c r="R26" s="46" t="str">
        <x:v>🟢 Established</x:v>
      </x:c>
      <x:c r="S26" s="46" t="str">
        <x:v>⚪ Open</x:v>
      </x:c>
      <x:c r="T26" s="46" t="str">
        <x:v>⚪ Open</x:v>
      </x:c>
      <x:c r="U26" s="46" t="str">
        <x:v>🟠 Credible US local-government disruption cluster</x:v>
      </x:c>
      <x:c r="V26" s="46" t="str">
        <x:v>Moderate as a resilience/pattern signal; no public Iran evidence.</x:v>
      </x:c>
      <x:c r="W26" s="46" t="str">
        <x:v>⚪ No evidence found</x:v>
      </x:c>
      <x:c r="X26" s="46" t="str">
        <x:v>Open / no public Iran evidence</x:v>
      </x:c>
      <x:c r="Y26" s="46" t="str">
        <x:v>Ordinary criminal, opportunistic or unrelated intrusion against unevenly defended local-government networks.</x:v>
      </x:c>
      <x:c r="Z26" s="46" t="str">
        <x:v>Moderate local-government continuity significance; emergency communications preserved.</x:v>
      </x:c>
      <x:c r="AA26" s="46" t="str">
        <x:v>No ransomware finding, threat-actor identification, initial-access finding, data-theft finding or Iran link.</x:v>
      </x:c>
      <x:c r="AB26" s="46" t="str">
        <x:v>https://www.wmbfnews.com/2026/08/12/cybersecurity-incident-limits-some-services-darlington-county/ | https://wpde.com/news/local/darlington-co-investigating-cybersecurity-incident-affecting-some-services-county-computer-systems-darlington-county-administrator-marion-charles-stewart-iii-911-communications-center | https://www.newsandpress.net/darlington-county-issues-statement-on-cybersecurity-incident/</x:v>
      </x:c>
      <x:c r="AC26" s="46" t="str">
        <x:v>Tier 1 affected-authority statement reproduced + Tier 3 local reporting</x:v>
      </x:c>
      <x:c r="AD26" s="46" t="str">
        <x:v>2026-08-16</x:v>
      </x:c>
      <x:c r="AE26" s="46" t="str">
        <x:v>New</x:v>
      </x:c>
      <x:c r="AF26" s="46" t="str">
        <x:v>Unattributed; investigation open.</x:v>
      </x:c>
      <x:c r="AG26" s="46" t="str">
        <x:v>Open / no evidence</x:v>
      </x:c>
      <x:c r="AH26" s="46" t="str">
        <x:v>Some systems taken offline; emergency and 911 services remained operational.</x:v>
      </x:c>
      <x:c r="AI26" s="46" t="str">
        <x:v>Municipal enterprise-IT exposure / service degradation</x:v>
      </x:c>
      <x:c r="AJ26" s="46" t="str">
        <x:v>⚪ Open; geography and timing alone do not establish common authorship.</x:v>
      </x:c>
      <x:c r="AK26" s="46" t="str">
        <x:v>⚪ Open; local-government clustering is established more strongly than common sponsorship.</x:v>
      </x:c>
      <x:c r="AL26" s="46" t="str">
        <x:v>Civilian local-government function; emergency-service continuity is operationally important.</x:v>
      </x:c>
      <x:c r="AM26" s="46" t="str">
        <x:v>County residents and staff experienced degraded ordinary services while emergency communications were preserved.</x:v>
      </x:c>
      <x:c r="AN26" s="46" t="str">
        <x:v>County statement establishes the event; two local newsrooms provide reporting routes but may rely on the same official statement.</x:v>
      </x:c>
    </x:row>
    <x:row r="27">
      <x:c r="A27" s="60" t="n">
        <x:v>46247</x:v>
      </x:c>
      <x:c r="B27" s="37" t="str">
        <x:v>Cybercrime campaign / data-extortion claim</x:v>
      </x:c>
      <x:c r="C27" s="37" t="str">
        <x:v>Adjacent</x:v>
      </x:c>
      <x:c r="D27" s="37" t="str">
        <x:v>International / cross-sector</x:v>
      </x:c>
      <x:c r="E27" s="37" t="str">
        <x:v>Enterprise engineering / product-lifecycle management</x:v>
      </x:c>
      <x:c r="F27" s="37" t="str">
        <x:v>Cross-sector / other</x:v>
      </x:c>
      <x:c r="G27" s="37" t="str">
        <x:v>Nearly 50 organisations claimed; Shell, Philips, GE and Fiserv among named targets</x:v>
      </x:c>
      <x:c r="H27" s="37" t="str">
        <x:v>Cl0p claimed data theft from nearly 50 organisations through exploitation of PTC Windchill and FlexPLM. Victim confirmation varied: Philips confirmed and contained attempted compromise of a specific internal server; other named organisations investigated or disputed material effects.</x:v>
      </x:c>
      <x:c r="I27" s="37" t="str">
        <x:v>Enterprise engineering / product-lifecycle management platforms</x:v>
      </x:c>
      <x:c r="J27" s="37" t="str">
        <x:v>No generally established essential-service disruption; victim-specific confirmation varied.</x:v>
      </x:c>
      <x:c r="K27" s="37" t="str">
        <x:v>Data-theft claims across a shared-software campaign; no general physical-process effect established.</x:v>
      </x:c>
      <x:c r="L27" s="37" t="str">
        <x:v>📣 Actor-claimed / partial victim confirmation</x:v>
      </x:c>
      <x:c r="M27" s="37" t="str">
        <x:v>Cl0p</x:v>
      </x:c>
      <x:c r="N27" s="37" t="str">
        <x:v>Cl0p / mass-extortion ecosystem</x:v>
      </x:c>
      <x:c r="O27" s="37" t="str">
        <x:v>No public state relationship established.</x:v>
      </x:c>
      <x:c r="P27" s="37" t="str">
        <x:v>No public Iran attribution.</x:v>
      </x:c>
      <x:c r="Q27" s="37" t="str">
        <x:v>🟢 Established campaign; mixed victim-level confirmation</x:v>
      </x:c>
      <x:c r="R27" s="37" t="str">
        <x:v>🟠 Developing at individual-victim level</x:v>
      </x:c>
      <x:c r="S27" s="37" t="str">
        <x:v>🟢 Established criminal actor claim; ⚪ state customer open</x:v>
      </x:c>
      <x:c r="T27" s="37" t="str">
        <x:v>🟡 Probable shared-software exploitation</x:v>
      </x:c>
      <x:c r="U27" s="37" t="str">
        <x:v>🔴 Established cybercrime campaign pattern</x:v>
      </x:c>
      <x:c r="V27" s="37" t="str">
        <x:v>Adjacent comparator: cross-sector reach from one shared technical opportunity does not establish strategic selection by Iran.</x:v>
      </x:c>
      <x:c r="W27" s="37" t="str">
        <x:v>⚪ No evidence found</x:v>
      </x:c>
      <x:c r="X27" s="37" t="str">
        <x:v>Open / no public Iran evidence</x:v>
      </x:c>
      <x:c r="Y27" s="37" t="str">
        <x:v>Individual victim claims may be exaggerated, incomplete or differently scoped; confirmation must remain victim-specific.</x:v>
      </x:c>
      <x:c r="Z27" s="37" t="str">
        <x:v>High data-security and supply-chain significance; essential-service operational effects not generally established.</x:v>
      </x:c>
      <x:c r="AA27" s="37" t="str">
        <x:v>No public Iran connection; no generally established essential-service outage; no evidence every named organisation was successfully compromised.</x:v>
      </x:c>
      <x:c r="AB27" s="37" t="str">
        <x:v>https://www.reuters.com/legal/government/philips-shell-targeted-by-hacking-group-2026-08-13/ | https://www.ptc.com/en/about/trust-center/advisory-center/active-advisories/windchill-flexplm-rce-vulnerability</x:v>
      </x:c>
      <x:c r="AC27" s="37" t="str">
        <x:v>Tier 1 vendor advisory + Tier 3 Reuters reporting</x:v>
      </x:c>
      <x:c r="AD27" s="60" t="n">
        <x:v>46254</x:v>
      </x:c>
      <x:c r="AE27" s="37" t="str">
        <x:v>New</x:v>
      </x:c>
      <x:c r="AF27" s="37" t="str">
        <x:v>Shared vulnerability identified → Cl0p mass-extortion claim → victim-specific confirmation remains mixed.</x:v>
      </x:c>
      <x:c r="AG27" s="37" t="str">
        <x:v>Open / no evidence</x:v>
      </x:c>
      <x:c r="AH27" s="37" t="str">
        <x:v>Not reported / not applicable.</x:v>
      </x:c>
      <x:c r="AI27" s="37" t="str">
        <x:v>Shared-software exploitation / scalable mass extortion</x:v>
      </x:c>
      <x:c r="AJ27" s="37" t="str">
        <x:v>🟡 Probable at campaign level; individual claims vary.</x:v>
      </x:c>
      <x:c r="AK27" s="37" t="str">
        <x:v>⚪ No evidence of one Iranian strategic campaign.</x:v>
      </x:c>
      <x:c r="AL27" s="37" t="str">
        <x:v>No automatic IHL conclusion from cross-sector victimology or wartime timing; operation-specific effects and nexus remain necessary.</x:v>
      </x:c>
      <x:c r="AM27" s="37" t="str">
        <x:v>Named organisations, customers, employees and downstream users carry investigation, privacy, remediation and trust costs.</x:v>
      </x:c>
      <x:c r="AN27" s="37" t="str">
        <x:v>Vendor advisory establishes the software vulnerability; Reuters records actor claims and victim responses. Repetition of Cl0p claims is not independent corroboration.</x:v>
      </x:c>
    </x:row>
    <x:row r="28">
      <x:c r="A28" s="60" t="n">
        <x:v>46247</x:v>
      </x:c>
      <x:c r="B28" s="37" t="str">
        <x:v>Cyber incident / disclosure and response</x:v>
      </x:c>
      <x:c r="C28" s="37" t="str">
        <x:v>Core</x:v>
      </x:c>
      <x:c r="D28" s="37" t="str">
        <x:v>France</x:v>
      </x:c>
      <x:c r="E28" s="37" t="str">
        <x:v>National tax administration / public finance / government data</x:v>
      </x:c>
      <x:c r="F28" s="37" t="str">
        <x:v>Government / administration</x:v>
      </x:c>
      <x:c r="G28" s="37" t="str">
        <x:v>Direction générale des Finances publiques (DGFiP)</x:v>
      </x:c>
      <x:c r="H28" s="37" t="str">
        <x:v>France confirmed that illegitimate access to a tax-authority system in late June allowed consultation and extraction of individual and business data. The breach became public after ZeroBytes advertised material; the government later reported about 700,000 affected taxpayers and a further breach under assessment.</x:v>
      </x:c>
      <x:c r="I28" s="37" t="str">
        <x:v>Government enterprise IT / VPN / tax-data systems</x:v>
      </x:c>
      <x:c r="J28" s="37" t="str">
        <x:v>Confidentiality loss confirmed; service disruption not established; government vulnerability-testing and security response announced.</x:v>
      </x:c>
      <x:c r="K28" s="37" t="str">
        <x:v>Taxpayer and business data extracted. Record manipulation was not established.</x:v>
      </x:c>
      <x:c r="L28" s="37" t="str">
        <x:v>Officially confirmed; actor claimed</x:v>
      </x:c>
      <x:c r="M28" s="37" t="str">
        <x:v>ZeroBytes</x:v>
      </x:c>
      <x:c r="N28" s="37" t="str">
        <x:v>Unknown / ZeroBytes claim</x:v>
      </x:c>
      <x:c r="O28" s="37" t="str">
        <x:v>No public state relationship established.</x:v>
      </x:c>
      <x:c r="P28" s="37" t="str">
        <x:v>No public Iran attribution.</x:v>
      </x:c>
      <x:c r="Q28" s="37" t="str">
        <x:v>🟢 Established</x:v>
      </x:c>
      <x:c r="R28" s="37" t="str">
        <x:v>🟢 Established confidentiality loss</x:v>
      </x:c>
      <x:c r="S28" s="37" t="str">
        <x:v>🟡 Probable criminal monetisation; operator identity not independently resolved</x:v>
      </x:c>
      <x:c r="T28" s="37" t="str">
        <x:v>🟠 Developing French public-administration exposure cluster</x:v>
      </x:c>
      <x:c r="U28" s="37" t="str">
        <x:v>🟠 Credible public-administration exposure cluster</x:v>
      </x:c>
      <x:c r="V28" s="37" t="str">
        <x:v>Essential state-data incident during the war window; useful comparator because criminal monetisation is favoured and no Iran link is established.</x:v>
      </x:c>
      <x:c r="W28" s="37" t="str">
        <x:v>⚪ No evidence found</x:v>
      </x:c>
      <x:c r="X28" s="37" t="str">
        <x:v>Open / no public Iran evidence</x:v>
      </x:c>
      <x:c r="Y28" s="37" t="str">
        <x:v>Financially motivated criminal intrusion is the leading explanation; state tasking or later access resale remains unsupported.</x:v>
      </x:c>
      <x:c r="Z28" s="37" t="str">
        <x:v>High public-administration, privacy, fraud and trust significance despite no demonstrated service outage.</x:v>
      </x:c>
      <x:c r="AA28" s="37" t="str">
        <x:v>No established service disruption, record manipulation, continuing access, common operator with the US water campaign or Iran connection.</x:v>
      </x:c>
      <x:c r="AB28" s="37" t="str">
        <x:v>https://www.reuters.com/legal/litigation/french-taxpayers-data-stolen-cyber-attack-french-finance-ministry-says-2026-08-14/ | https://www.reuters.com/world/france-use-ai-tools-test-cybsecurity-vulnerabilities-after-tax-agency-hacking-2026-08-18/ | https://www.lemonde.fr/en/pixels/article/2026/08/14/french-taxpayers-data-stolen-in-hack-of-finance-ministry_6756510_13.html</x:v>
      </x:c>
      <x:c r="AC28" s="37" t="str">
        <x:v>Tier 3 Reuters + Le Monde reporting on official confirmation and actor claims</x:v>
      </x:c>
      <x:c r="AD28" s="60" t="n">
        <x:v>46254</x:v>
      </x:c>
      <x:c r="AE28" s="37" t="str">
        <x:v>New</x:v>
      </x:c>
      <x:c r="AF28" s="37" t="str">
        <x:v>Late-June access terminated → August actor advertisement → ministry confirmation → approximately 700,000 affected and a further breach under assessment.</x:v>
      </x:c>
      <x:c r="AG28" s="37" t="str">
        <x:v>Open / no evidence</x:v>
      </x:c>
      <x:c r="AH28" s="37" t="str">
        <x:v>Not reported / not applicable.</x:v>
      </x:c>
      <x:c r="AI28" s="37" t="str">
        <x:v>Identity / credential abuse + criminal data monetisation</x:v>
      </x:c>
      <x:c r="AJ28" s="37" t="str">
        <x:v>⚪ Open; further French breach remained under assessment.</x:v>
      </x:c>
      <x:c r="AK28" s="37" t="str">
        <x:v>⚪ Open; no Iran evidence.</x:v>
      </x:c>
      <x:c r="AL28" s="37" t="str">
        <x:v>Civilian public-administration and essential-data relevance; no automatic attack, nexus or legal conclusion from confidentiality loss alone.</x:v>
      </x:c>
      <x:c r="AM28" s="37" t="str">
        <x:v>Taxpayers and businesses carry fraud, impersonation, coercion, discrimination and trust risks after technical access ended.</x:v>
      </x:c>
      <x:c r="AN28" s="37" t="str">
        <x:v>Official confirmation is reported by Reuters; Le Monde adds disclosure and actor-claim detail. Actor-derived scale and continuing-access claims remain separated from confirmed findings.</x:v>
      </x:c>
    </x:row>
    <x:row r="29">
      <x:c r="A29" s="60" t="n">
        <x:v>46251</x:v>
      </x:c>
      <x:c r="B29" s="37" t="str">
        <x:v>Preparedness / governance update</x:v>
      </x:c>
      <x:c r="C29" s="37" t="str">
        <x:v>Context</x:v>
      </x:c>
      <x:c r="D29" s="37" t="str">
        <x:v>United States — Connecticut</x:v>
      </x:c>
      <x:c r="E29" s="37" t="str">
        <x:v>Water and wastewater / operational technology preparedness</x:v>
      </x:c>
      <x:c r="F29" s="37" t="str">
        <x:v>Water / wastewater</x:v>
      </x:c>
      <x:c r="G29" s="37" t="str">
        <x:v>Connecticut community water systems and state response bodies</x:v>
      </x:c>
      <x:c r="H29" s="37" t="str">
        <x:v>Connecticut authorities described distributing federal mitigation guidance after attacks in other states. No Connecticut attack was reported. The state also lacked a central inventory identifying which local systems used the affected controller classes.</x:v>
      </x:c>
      <x:c r="I29" s="37" t="str">
        <x:v>Threat posture / asset inventory / mitigation distribution</x:v>
      </x:c>
      <x:c r="J29" s="37" t="str">
        <x:v>No new incident or service effect; this row records a defensive response and an ownership/inventory gap.</x:v>
      </x:c>
      <x:c r="K29" s="37" t="str">
        <x:v>None reported in Connecticut.</x:v>
      </x:c>
      <x:c r="L29" s="37" t="str">
        <x:v>Official preparedness disclosure reported</x:v>
      </x:c>
      <x:c r="M29" s="37" t="str">
        <x:v>N/A</x:v>
      </x:c>
      <x:c r="N29" s="37" t="str">
        <x:v>N/A</x:v>
      </x:c>
      <x:c r="O29" s="37" t="str">
        <x:v>Not applicable to a new Connecticut incident.</x:v>
      </x:c>
      <x:c r="P29" s="37" t="str">
        <x:v>No new incident to attribute.</x:v>
      </x:c>
      <x:c r="Q29" s="37" t="str">
        <x:v>N/A — no Connecticut incident reported</x:v>
      </x:c>
      <x:c r="R29" s="37" t="str">
        <x:v>N/A</x:v>
      </x:c>
      <x:c r="S29" s="37" t="str">
        <x:v>N/A</x:v>
      </x:c>
      <x:c r="T29" s="37" t="str">
        <x:v>🟢 Established response to the wider water campaign</x:v>
      </x:c>
      <x:c r="U29" s="37" t="str">
        <x:v>🔴 Established water-sector campaign response</x:v>
      </x:c>
      <x:c r="V29" s="37" t="str">
        <x:v>High as response-architecture evidence; not evidence of an additional Iranian attack.</x:v>
      </x:c>
      <x:c r="W29" s="37" t="str">
        <x:v>Not applicable to a new incident</x:v>
      </x:c>
      <x:c r="X29" s="37" t="str">
        <x:v>Not applicable / context</x:v>
      </x:c>
      <x:c r="Y29" s="37" t="str">
        <x:v>Not applicable; this is a preparedness record rather than an attack record.</x:v>
      </x:c>
      <x:c r="Z29" s="37" t="str">
        <x:v>High governance significance because mitigation depends on component visibility and ownership.</x:v>
      </x:c>
      <x:c r="AA29" s="37" t="str">
        <x:v>No Connecticut attack reported; no central component-level inventory in the reported form.</x:v>
      </x:c>
      <x:c r="AB29" s="37" t="str">
        <x:v>https://www.ctinsider.com/connecticut/article/connecticut-water-systems-cyberattack-controller-22374980.php</x:v>
      </x:c>
      <x:c r="AC29" s="37" t="str">
        <x:v>Tier 3 state-focused reporting on official preparedness disclosures</x:v>
      </x:c>
      <x:c r="AD29" s="60" t="n">
        <x:v>46254</x:v>
      </x:c>
      <x:c r="AE29" s="37" t="str">
        <x:v>New context event</x:v>
      </x:c>
      <x:c r="AF29" s="37" t="str">
        <x:v>No Connecticut incident; response triggered by the wider multistate campaign.</x:v>
      </x:c>
      <x:c r="AG29" s="37" t="str">
        <x:v>Other / established</x:v>
      </x:c>
      <x:c r="AH29" s="37" t="str">
        <x:v>Many small systems reported as capable of manual operation; no incident response occurred in this row.</x:v>
      </x:c>
      <x:c r="AI29" s="37" t="str">
        <x:v>Preparedness distribution / fragmented ownership / asset-inventory gap</x:v>
      </x:c>
      <x:c r="AJ29" s="37" t="str">
        <x:v>Not applicable.</x:v>
      </x:c>
      <x:c r="AK29" s="37" t="str">
        <x:v>Not applicable to a new incident.</x:v>
      </x:c>
      <x:c r="AL29" s="37" t="str">
        <x:v>No operation in Connecticut is recorded; the row concerns protection of civilian water infrastructure.</x:v>
      </x:c>
      <x:c r="AM29" s="37" t="str">
        <x:v>Local operators and state bodies carry the burden of securing distributed equipment without a complete central component inventory.</x:v>
      </x:c>
      <x:c r="AN29" s="37" t="str">
        <x:v>Single state-focused report drawing on Connecticut authorities; contextual evidence, not an independently confirmed incident.</x:v>
      </x:c>
    </x:row>
    <x:row r="30">
      <x:c r="A30" s="60" t="n">
        <x:v>46252</x:v>
      </x:c>
      <x:c r="B30" s="37" t="str">
        <x:v>Charging / enforcement event</x:v>
      </x:c>
      <x:c r="C30" s="37" t="str">
        <x:v>Context</x:v>
      </x:c>
      <x:c r="D30" s="37" t="str">
        <x:v>United States / Iran</x:v>
      </x:c>
      <x:c r="E30" s="37" t="str">
        <x:v>Universities; companies; government agencies; NGOs</x:v>
      </x:c>
      <x:c r="F30" s="37" t="str">
        <x:v>Cross-sector / other</x:v>
      </x:c>
      <x:c r="G30" s="37" t="str">
        <x:v>Mabna Institute defendants and historical victim set</x:v>
      </x:c>
      <x:c r="H30" s="37" t="str">
        <x:v>The US Department of Justice announced a superseding indictment charging 17 alleged Mabna Institute members. The historical 2013–2017 campaign allegedly affected 144 US universities, 178 foreign universities, companies, government agencies and NGOs and stole more than 31 terabytes of academic data and intellectual property.</x:v>
      </x:c>
      <x:c r="I30" s="37" t="str">
        <x:v>Credential theft / spearphishing / academic and enterprise data</x:v>
      </x:c>
      <x:c r="J30" s="37" t="str">
        <x:v>No new 2026 operational effect; this row expands the public charging and attribution history.</x:v>
      </x:c>
      <x:c r="K30" s="37" t="str">
        <x:v>More than 31 terabytes of historical academic data and intellectual property allegedly stolen.</x:v>
      </x:c>
      <x:c r="L30" s="37" t="str">
        <x:v>US government allegations / superseding indictment</x:v>
      </x:c>
      <x:c r="M30" s="37" t="str">
        <x:v>Mabna Institute</x:v>
      </x:c>
      <x:c r="N30" s="37" t="str">
        <x:v>Seventeen charged alleged members / contractors / affiliates</x:v>
      </x:c>
      <x:c r="O30" s="37" t="str">
        <x:v>DOJ alleges the university spearphishing campaign was conducted on behalf of the IRGC and that Mabna served Iranian governmental and private clients.</x:v>
      </x:c>
      <x:c r="P30" s="37" t="str">
        <x:v>Formal US criminal allegations concerning a historical campaign; adjudication pending.</x:v>
      </x:c>
      <x:c r="Q30" s="37" t="str">
        <x:v>🟢 Charging event confirmed</x:v>
      </x:c>
      <x:c r="R30" s="37" t="str">
        <x:v>🟢 Historical data-theft allegation formally pleaded</x:v>
      </x:c>
      <x:c r="S30" s="37" t="str">
        <x:v>🟢 Established as a US government allegation; not a conviction</x:v>
      </x:c>
      <x:c r="T30" s="37" t="str">
        <x:v>🟢 Historical Mabna–IRGC tasking allegation; ⚪ no connection to current incidents</x:v>
      </x:c>
      <x:c r="U30" s="37" t="str">
        <x:v>⚪ Historical contractor / attribution comparator</x:v>
      </x:c>
      <x:c r="V30" s="37" t="str">
        <x:v>High for the contractor, customer and tasking model; not a new wartime attack.</x:v>
      </x:c>
      <x:c r="W30" s="37" t="str">
        <x:v>Established as a formal US government allegation</x:v>
      </x:c>
      <x:c r="X30" s="37" t="str">
        <x:v>Official allegation / historical</x:v>
      </x:c>
      <x:c r="Y30" s="37" t="str">
        <x:v>Allegations remain to be adjudicated; unrelated current incidents cannot inherit Mabna attribution.</x:v>
      </x:c>
      <x:c r="Z30" s="37" t="str">
        <x:v>High historical espionage, contractor-ecosystem and attribution significance.</x:v>
      </x:c>
      <x:c r="AA30" s="37" t="str">
        <x:v>Not a new 2026 attack; no evidence connects Mabna to water, ransomware, logistics, Siemens or French tax incidents.</x:v>
      </x:c>
      <x:c r="AB30" s="37" t="str">
        <x:v>https://www.justice.gov/opa/pr/17-iranians-charged-conducting-massive-cyber-theft-campaign-behalf-islamic-revolutionary | https://www.justice.gov/usao-sdny/media/1458201/dl</x:v>
      </x:c>
      <x:c r="AC30" s="37" t="str">
        <x:v>Tier 1 official charging announcement + primary superseding indictment</x:v>
      </x:c>
      <x:c r="AD30" s="60" t="n">
        <x:v>46254</x:v>
      </x:c>
      <x:c r="AE30" s="37" t="str">
        <x:v>New enforcement event</x:v>
      </x:c>
      <x:c r="AF30" s="37" t="str">
        <x:v>2018 original charges → 2026 superseding indictment expands defendants and public charging record; underlying conduct remains historical.</x:v>
      </x:c>
      <x:c r="AG30" s="37" t="str">
        <x:v>Other / established</x:v>
      </x:c>
      <x:c r="AH30" s="37" t="str">
        <x:v>Not reported / not applicable.</x:v>
      </x:c>
      <x:c r="AI30" s="37" t="str">
        <x:v>Hackers-for-hire / contractor tasking / credential theft / data acquisition</x:v>
      </x:c>
      <x:c r="AJ30" s="37" t="str">
        <x:v>🟢 For the charged historical conspiracy as alleged; not transferable to current incidents.</x:v>
      </x:c>
      <x:c r="AK30" s="37" t="str">
        <x:v>⚪ No evidence connects the historical campaign to the current incident set.</x:v>
      </x:c>
      <x:c r="AL30" s="37" t="str">
        <x:v>Historical espionage and data theft are not automatically IHL attacks or war crimes; nexus, effects and criminal elements remain separate.</x:v>
      </x:c>
      <x:c r="AM30" s="37" t="str">
        <x:v>Universities, researchers, companies, public agencies and NGOs carried privacy, intellectual-property and remediation losses.</x:v>
      </x:c>
      <x:c r="AN30" s="37" t="str">
        <x:v>Primary US charging documents establish the allegations and scope claimed by prosecutors; they do not prove the allegations without adjudication.</x:v>
      </x:c>
    </x:row>
    <x:row r="31">
      <x:c r="A31" s="60" t="n">
        <x:v>46253</x:v>
      </x:c>
      <x:c r="B31" s="37" t="str">
        <x:v>Defensive advisory / active-threat warning</x:v>
      </x:c>
      <x:c r="C31" s="37" t="str">
        <x:v>Context</x:v>
      </x:c>
      <x:c r="D31" s="37" t="str">
        <x:v>United States — cross-sector</x:v>
      </x:c>
      <x:c r="E31" s="37" t="str">
        <x:v>Manufacturing; energy; water and wastewater; chemical; food and agriculture</x:v>
      </x:c>
      <x:c r="F31" s="37" t="str">
        <x:v>Cross-sector / other</x:v>
      </x:c>
      <x:c r="G31" s="37" t="str">
        <x:v>Operators using Siemens S7-series programmable logic controllers</x:v>
      </x:c>
      <x:c r="H31" s="37" t="str">
        <x:v>CISA, NSA, FBI, DOE, EPA and partners warned of an active threat to Siemens S7-series PLCs across multiple critical-infrastructure sectors and described the possibility of read-and-write access.</x:v>
      </x:c>
      <x:c r="I31" s="37" t="str">
        <x:v>Operational technology / programmable logic controllers</x:v>
      </x:c>
      <x:c r="J31" s="37" t="str">
        <x:v>Potential disruption, downtime and cascading effects; no specific completed incident established by the advisory alone.</x:v>
      </x:c>
      <x:c r="K31" s="37" t="str">
        <x:v>Potential safety incidents, equipment damage and sensitive-data compromise; actual effects not established by the advisory alone.</x:v>
      </x:c>
      <x:c r="L31" s="37" t="str">
        <x:v>Official defensive advisory</x:v>
      </x:c>
      <x:c r="M31" s="37" t="str">
        <x:v>N/A</x:v>
      </x:c>
      <x:c r="N31" s="37" t="str">
        <x:v>Unknown</x:v>
      </x:c>
      <x:c r="O31" s="37" t="str">
        <x:v>No public state relationship established in the advisory.</x:v>
      </x:c>
      <x:c r="P31" s="37" t="str">
        <x:v>The advisory did not attribute the active threat to Iran.</x:v>
      </x:c>
      <x:c r="Q31" s="37" t="str">
        <x:v>🟢 Advisory confirmed; specific incident not established</x:v>
      </x:c>
      <x:c r="R31" s="37" t="str">
        <x:v>N/A — potential effects only</x:v>
      </x:c>
      <x:c r="S31" s="37" t="str">
        <x:v>⚪ Open</x:v>
      </x:c>
      <x:c r="T31" s="37" t="str">
        <x:v>🟡 Related to the wider OT threat surface; not evidence of one operator</x:v>
      </x:c>
      <x:c r="U31" s="37" t="str">
        <x:v>🟠 Active cross-sector OT threat watch</x:v>
      </x:c>
      <x:c r="V31" s="37" t="str">
        <x:v>High defensive relevance during the war and water campaign; current Iran attribution absent.</x:v>
      </x:c>
      <x:c r="W31" s="37" t="str">
        <x:v>⚪ Not made in the advisory</x:v>
      </x:c>
      <x:c r="X31" s="37" t="str">
        <x:v>Open / no public Iran evidence</x:v>
      </x:c>
      <x:c r="Y31" s="37" t="str">
        <x:v>Multiple state, criminal, hacktivist or opportunistic actors may target the same exposed controller class.</x:v>
      </x:c>
      <x:c r="Z31" s="37" t="str">
        <x:v>Very high potential cross-sector safety and continuity significance; actual incident effects not established.</x:v>
      </x:c>
      <x:c r="AA31" s="37" t="str">
        <x:v>No specific completed incident, actual safety effect, equipment damage or Iran attribution established by the advisory alone.</x:v>
      </x:c>
      <x:c r="AB31" s="37" t="str">
        <x:v>https://www.cisa.gov/news-events/cybersecurity-advisories/aa26-231a | https://www.reuters.com/world/us-warns-siemens-devices-can-be-hacked-amid-fears-iran-is-breaching-water-plants-2026-08-19/</x:v>
      </x:c>
      <x:c r="AC31" s="37" t="str">
        <x:v>Tier 1 multi-agency advisory + Tier 3 Reuters context reporting</x:v>
      </x:c>
      <x:c r="AD31" s="60" t="n">
        <x:v>46254</x:v>
      </x:c>
      <x:c r="AE31" s="37" t="str">
        <x:v>New threat event</x:v>
      </x:c>
      <x:c r="AF31" s="37" t="str">
        <x:v>Rockwell water warning → Siemens S7 active-threat warning broadens the defensive technology and sector perimeter without adding attributed victims.</x:v>
      </x:c>
      <x:c r="AG31" s="37" t="str">
        <x:v>Open / no evidence</x:v>
      </x:c>
      <x:c r="AH31" s="37" t="str">
        <x:v>Manual capability and continuity planning recommended; no specific incident response in this row.</x:v>
      </x:c>
      <x:c r="AI31" s="37" t="str">
        <x:v>Internet-exposed shared industrial-control technology / active exploitation</x:v>
      </x:c>
      <x:c r="AJ31" s="37" t="str">
        <x:v>⚪ Open.</x:v>
      </x:c>
      <x:c r="AK31" s="37" t="str">
        <x:v>⚪ Open; warning does not establish one sponsor.</x:v>
      </x:c>
      <x:c r="AL31" s="37" t="str">
        <x:v>Potential effects may engage protected-object analysis if an operation occurs; an active-threat warning is not itself an attack.</x:v>
      </x:c>
      <x:c r="AM31" s="37" t="str">
        <x:v>Operators across several critical sectors carry inventory, isolation, patching, manual-operation and cascading-risk burdens.</x:v>
      </x:c>
      <x:c r="AN31" s="37" t="str">
        <x:v>Official advisory supports the threat and potential effects; Reuters supplies campaign context. Neither source makes current Iran attribution for this threat.</x:v>
      </x:c>
    </x:row>
    <x:row r="32">
      <x:c r="A32" s="60" t="n">
        <x:v>46253</x:v>
      </x:c>
      <x:c r="B32" s="37" t="str">
        <x:v>Attribution governance update</x:v>
      </x:c>
      <x:c r="C32" s="37" t="str">
        <x:v>Context</x:v>
      </x:c>
      <x:c r="D32" s="37" t="str">
        <x:v>United States — multi-state</x:v>
      </x:c>
      <x:c r="E32" s="37" t="str">
        <x:v>Water and wastewater / operational technology</x:v>
      </x:c>
      <x:c r="F32" s="37" t="str">
        <x:v>Water / wastewater</x:v>
      </x:c>
      <x:c r="G32" s="37" t="str">
        <x:v>Minnesota/core wave and the wider US water campaign</x:v>
      </x:c>
      <x:c r="H32" s="37" t="str">
        <x:v>Federal officials still stopped short of formally attributing the recent local water-system attacks to Iran. The presidential rejection of Iranian involvement issued on 31 July had therefore remained publicly unresolved for 19 days, while a reported intelligence assessment and an APT IRAN/CyberAv3ngers claim continued to favour an Iran-linked core-wave interpretation.</x:v>
      </x:c>
      <x:c r="I32" s="37" t="str">
        <x:v>Attribution / intelligence / executive-governance record</x:v>
      </x:c>
      <x:c r="J32" s="37" t="str">
        <x:v>No new operational effect; this row records prolonged public executive-level uncertainty.</x:v>
      </x:c>
      <x:c r="K32" s="37" t="str">
        <x:v>N/A</x:v>
      </x:c>
      <x:c r="L32" s="37" t="str">
        <x:v>Reported intelligence assessment + actor claim + divergent presidential position</x:v>
      </x:c>
      <x:c r="M32" s="37" t="str">
        <x:v>APT IRAN / CyberAv3ngers</x:v>
      </x:c>
      <x:c r="N32" s="37" t="str">
        <x:v>Iran-linked operator probable for Minnesota/core wave; exact operator unresolved publicly</x:v>
      </x:c>
      <x:c r="O32" s="37" t="str">
        <x:v>Prior CyberAv3ngers–IRGC affiliation is established in US reporting; current-operation direction remains separately unproven.</x:v>
      </x:c>
      <x:c r="P32" s="37" t="str">
        <x:v>Formal federal campaign attribution remained absent; the president had publicly rejected Iranian responsibility.</x:v>
      </x:c>
      <x:c r="Q32" s="37" t="str">
        <x:v>🟢 Established as a governance event</x:v>
      </x:c>
      <x:c r="R32" s="37" t="str">
        <x:v>N/A</x:v>
      </x:c>
      <x:c r="S32" s="37" t="str">
        <x:v>🟡 Probable for Minnesota/core wave; formal attribution absent</x:v>
      </x:c>
      <x:c r="T32" s="37" t="str">
        <x:v>🟡 Probable for core wave; open across the whole multistate set</x:v>
      </x:c>
      <x:c r="U32" s="37" t="str">
        <x:v>🔴 Established water-sector campaign pattern</x:v>
      </x:c>
      <x:c r="V32" s="37" t="str">
        <x:v>Very high — extended uncertainty affects warning, accountability, alliance signalling and local defensive interpretation.</x:v>
      </x:c>
      <x:c r="W32" s="37" t="str">
        <x:v>Probable for Minnesota/core wave; unresolved formally</x:v>
      </x:c>
      <x:c r="X32" s="37" t="str">
        <x:v>Reported assessment + actor claim / formal attribution absent</x:v>
      </x:c>
      <x:c r="Y32" s="37" t="str">
        <x:v>False or exaggerated claim; multiple operators; copycats; opportunistic exploitation; partial Iran-linked responsibility within a heterogeneous wave.</x:v>
      </x:c>
      <x:c r="Z32" s="37" t="str">
        <x:v>Very high attribution-governance and executive-credibility significance.</x:v>
      </x:c>
      <x:c r="AA32" s="37" t="str">
        <x:v>No formal federal attribution of the recent campaign; no proof every incident shares one operator, customer or state direction.</x:v>
      </x:c>
      <x:c r="AB32" s="37" t="str">
        <x:v>https://www.reuters.com/world/us-warns-siemens-devices-can-be-hacked-amid-fears-iran-is-breaching-water-plants-2026-08-19/ | https://kstp.com/kstp-news/top-news/hacking-group-linked-to-iran-claims-responsibility-for-cyberattack-on-minnesota-water-systems-report-says/ | https://www.cisa.gov/news-events/cybersecurity-advisories/aa23-335a</x:v>
      </x:c>
      <x:c r="AC32" s="37" t="str">
        <x:v>Tier 1 prior relationship advisory + Tier 3 Reuters/local reporting</x:v>
      </x:c>
      <x:c r="AD32" s="60" t="n">
        <x:v>46254</x:v>
      </x:c>
      <x:c r="AE32" s="37" t="str">
        <x:v>Updated attribution-history event</x:v>
      </x:c>
      <x:c r="AF32" s="37" t="str">
        <x:v>31 July presidential rejection → 12 August actor claim recorded → 19 August formal federal attribution still absent after 19 days.</x:v>
      </x:c>
      <x:c r="AG32" s="37" t="str">
        <x:v>Probable</x:v>
      </x:c>
      <x:c r="AH32" s="37" t="str">
        <x:v>N/A — attribution record.</x:v>
      </x:c>
      <x:c r="AI32" s="37" t="str">
        <x:v>Attribution / executive-governance record layered onto an established OT campaign</x:v>
      </x:c>
      <x:c r="AJ32" s="37" t="str">
        <x:v>🟡 Probable for Minnesota/core wave; open for the entire multistate set.</x:v>
      </x:c>
      <x:c r="AK32" s="37" t="str">
        <x:v>🟡 Probable Iran-linked core wave; not inherited by every incident.</x:v>
      </x:c>
      <x:c r="AL32" s="37" t="str">
        <x:v>No new operation or effect in this row; unresolved legal attribution limits state-responsibility and individual-liability conclusions.</x:v>
      </x:c>
      <x:c r="AM32" s="37" t="str">
        <x:v>Utilities, residents, investigators, allies and local decision-makers carry the costs of unresolved public executive attribution.</x:v>
      </x:c>
      <x:c r="AN32" s="37" t="str">
        <x:v>Reuters records the continuing formal-attribution gap; actor-claim and prior-affiliation sources remain separate and do not independently prove current state direction.</x:v>
      </x:c>
    </x:row>
  </x:sheetData>
  <x:conditionalFormatting sqref="A2:AN26">
    <x:cfRule type="expression" dxfId="0" priority="1">
      <x:formula>MOD(ROW(),2)=0</x:formula>
    </x:cfRule>
  </x:conditionalFormatting>
  <x:pageMargins left="0.7" right="0.7" top="0.75" bottom="0.75" header="0.3" footer="0.3"/>
  <x:tableParts count="1">
    <x:tablePart xmlns:r="http://schemas.openxmlformats.org/officeDocument/2006/relationships" r:id="R8776ebedf8e2453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14"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s>
  <x:sheetData>
    <x:row r="1">
      <x:c r="A1" s="47" t="str">
        <x:v>Iran War Essential Infrastructure Cyber Timeline — Summary</x:v>
      </x:c>
      <x:c r="B1" s="47"/>
      <x:c r="C1" s="47"/>
      <x:c r="D1" s="47"/>
      <x:c r="E1" s="47"/>
      <x:c r="F1" s="47"/>
      <x:c r="G1" s="47"/>
      <x:c r="H1" s="47"/>
    </x:row>
    <x:row r="2">
      <x:c r="A2" s="48"/>
      <x:c r="B2" s="48"/>
      <x:c r="C2" s="48"/>
      <x:c r="D2" s="48"/>
      <x:c r="E2" s="48"/>
      <x:c r="F2" s="48"/>
      <x:c r="G2" s="48"/>
      <x:c r="H2" s="48"/>
    </x:row>
    <x:row r="3">
      <x:c r="A3" s="49" t="str">
        <x:v>Metric</x:v>
      </x:c>
      <x:c r="B3" s="49" t="str">
        <x:v>Value</x:v>
      </x:c>
      <x:c r="C3" s="48"/>
      <x:c r="D3" s="48"/>
      <x:c r="E3" s="48"/>
      <x:c r="F3" s="48"/>
      <x:c r="G3" s="48"/>
      <x:c r="H3" s="48"/>
    </x:row>
    <x:row r="4">
      <x:c r="A4" s="50" t="str">
        <x:v>Total records</x:v>
      </x:c>
      <x:c r="B4" s="50" t="n">
        <x:f>COUNTA('Incident Register'!$A$2:$A$32)</x:f>
        <x:v>31</x:v>
      </x:c>
      <x:c r="C4" s="48"/>
      <x:c r="D4" s="48"/>
      <x:c r="E4" s="48"/>
      <x:c r="F4" s="48"/>
      <x:c r="G4" s="48"/>
      <x:c r="H4" s="48"/>
    </x:row>
    <x:row r="5">
      <x:c r="A5" s="50" t="str">
        <x:v>Core timeline records</x:v>
      </x:c>
      <x:c r="B5" s="50" t="n">
        <x:f>COUNTIF('Incident Register'!$C$2:$C$32,"Core")</x:f>
        <x:v>16</x:v>
      </x:c>
      <x:c r="C5" s="48"/>
      <x:c r="D5" s="48"/>
      <x:c r="E5" s="48"/>
      <x:c r="F5" s="48"/>
      <x:c r="G5" s="48"/>
      <x:c r="H5" s="48"/>
    </x:row>
    <x:row r="6">
      <x:c r="A6" s="50" t="str">
        <x:v>Adjacent watch records</x:v>
      </x:c>
      <x:c r="B6" s="50" t="n">
        <x:f>COUNTIF('Incident Register'!$C$2:$C$32,"Adjacent")</x:f>
        <x:v>3</x:v>
      </x:c>
      <x:c r="C6" s="48"/>
      <x:c r="D6" s="48"/>
      <x:c r="E6" s="48"/>
      <x:c r="F6" s="48"/>
      <x:c r="G6" s="48"/>
      <x:c r="H6" s="48"/>
    </x:row>
    <x:row r="7">
      <x:c r="A7" s="50" t="str">
        <x:v>Context records</x:v>
      </x:c>
      <x:c r="B7" s="50" t="n">
        <x:f>COUNTIF('Incident Register'!$C$2:$C$32,"Context")</x:f>
        <x:v>12</x:v>
      </x:c>
      <x:c r="C7" s="48"/>
      <x:c r="D7" s="48"/>
      <x:c r="E7" s="48"/>
      <x:c r="F7" s="48"/>
      <x:c r="G7" s="48"/>
      <x:c r="H7" s="48"/>
    </x:row>
    <x:row r="8">
      <x:c r="A8" s="50" t="str">
        <x:v>Water / wastewater records</x:v>
      </x:c>
      <x:c r="B8" s="50" t="n">
        <x:f>COUNTIF('Incident Register'!$F$2:$F$32,"Water / wastewater")</x:f>
        <x:v>10</x:v>
      </x:c>
      <x:c r="C8" s="48"/>
      <x:c r="D8" s="48"/>
      <x:c r="E8" s="48"/>
      <x:c r="F8" s="48"/>
      <x:c r="G8" s="48"/>
      <x:c r="H8" s="48"/>
    </x:row>
    <x:row r="9">
      <x:c r="A9" s="50" t="str">
        <x:v>Iran attribution: probable</x:v>
      </x:c>
      <x:c r="B9" s="50" t="n">
        <x:f>COUNTIF('Incident Register'!$AG$2:$AG$32,"Probable")</x:f>
        <x:v>4</x:v>
      </x:c>
      <x:c r="C9" s="48"/>
      <x:c r="D9" s="48"/>
      <x:c r="E9" s="48"/>
      <x:c r="F9" s="48"/>
      <x:c r="G9" s="48"/>
      <x:c r="H9" s="48"/>
    </x:row>
    <x:row r="10">
      <x:c r="A10" s="50" t="str">
        <x:v>Iran attribution: open / no evidence</x:v>
      </x:c>
      <x:c r="B10" s="50" t="n">
        <x:f>COUNTIF('Incident Register'!$AG$2:$AG$32,"Open / no evidence")</x:f>
        <x:v>11</x:v>
      </x:c>
      <x:c r="C10" s="48"/>
      <x:c r="D10" s="48"/>
      <x:c r="E10" s="48"/>
      <x:c r="F10" s="48"/>
      <x:c r="G10" s="48"/>
      <x:c r="H10" s="48"/>
    </x:row>
    <x:row r="11">
      <x:c r="A11" s="50"/>
      <x:c r="B11" s="50"/>
      <x:c r="C11" s="48"/>
      <x:c r="D11" s="48"/>
      <x:c r="E11" s="48"/>
      <x:c r="F11" s="48"/>
      <x:c r="G11" s="48"/>
      <x:c r="H11" s="48"/>
    </x:row>
    <x:row r="12">
      <x:c r="A12" s="51" t="str">
        <x:v>Sector family</x:v>
      </x:c>
      <x:c r="B12" s="51" t="str">
        <x:v>Count</x:v>
      </x:c>
      <x:c r="C12" s="48"/>
      <x:c r="D12" s="48"/>
      <x:c r="E12" s="48"/>
      <x:c r="F12" s="48"/>
      <x:c r="G12" s="48"/>
      <x:c r="H12" s="48"/>
    </x:row>
    <x:row r="13">
      <x:c r="A13" s="50" t="str">
        <x:v>Water / wastewater</x:v>
      </x:c>
      <x:c r="B13" s="50" t="n">
        <x:f>COUNTIF('Incident Register'!$F$2:$F$32,A13)</x:f>
        <x:v>10</x:v>
      </x:c>
      <x:c r="C13" s="48"/>
      <x:c r="D13" s="48"/>
      <x:c r="E13" s="48"/>
      <x:c r="F13" s="48"/>
      <x:c r="G13" s="48"/>
      <x:c r="H13" s="48"/>
    </x:row>
    <x:row r="14">
      <x:c r="A14" s="50" t="str">
        <x:v>Government / administration</x:v>
      </x:c>
      <x:c r="B14" s="50" t="n">
        <x:f>COUNTIF('Incident Register'!$F$2:$F$32,A14)</x:f>
        <x:v>6</x:v>
      </x:c>
      <x:c r="C14" s="48"/>
      <x:c r="D14" s="48"/>
      <x:c r="E14" s="48"/>
      <x:c r="F14" s="48"/>
      <x:c r="G14" s="48"/>
      <x:c r="H14" s="48"/>
    </x:row>
    <x:row r="15">
      <x:c r="A15" s="50" t="str">
        <x:v>Healthcare / medical supply</x:v>
      </x:c>
      <x:c r="B15" s="50" t="n">
        <x:f>COUNTIF('Incident Register'!$F$2:$F$32,A15)</x:f>
        <x:v>3</x:v>
      </x:c>
      <x:c r="C15" s="48"/>
      <x:c r="D15" s="48"/>
      <x:c r="E15" s="48"/>
      <x:c r="F15" s="48"/>
      <x:c r="G15" s="48"/>
      <x:c r="H15" s="48"/>
    </x:row>
    <x:row r="16">
      <x:c r="A16" s="50" t="str">
        <x:v>Transport</x:v>
      </x:c>
      <x:c r="B16" s="50" t="n">
        <x:f>COUNTIF('Incident Register'!$F$2:$F$32,A16)</x:f>
        <x:v>2</x:v>
      </x:c>
      <x:c r="C16" s="48"/>
      <x:c r="D16" s="48"/>
      <x:c r="E16" s="48"/>
      <x:c r="F16" s="48"/>
      <x:c r="G16" s="48"/>
      <x:c r="H16" s="48"/>
    </x:row>
    <x:row r="17">
      <x:c r="A17" s="50" t="str">
        <x:v>Financial services</x:v>
      </x:c>
      <x:c r="B17" s="50" t="n">
        <x:f>COUNTIF('Incident Register'!$F$2:$F$32,A17)</x:f>
        <x:v>2</x:v>
      </x:c>
      <x:c r="C17" s="48"/>
      <x:c r="D17" s="48"/>
      <x:c r="E17" s="48"/>
      <x:c r="F17" s="48"/>
      <x:c r="G17" s="48"/>
      <x:c r="H17" s="48"/>
    </x:row>
    <x:row r="18">
      <x:c r="A18" s="50" t="str">
        <x:v>Policing / justice</x:v>
      </x:c>
      <x:c r="B18" s="50" t="n">
        <x:f>COUNTIF('Incident Register'!$F$2:$F$32,A18)</x:f>
        <x:v>2</x:v>
      </x:c>
      <x:c r="C18" s="48"/>
      <x:c r="D18" s="48"/>
      <x:c r="E18" s="48"/>
      <x:c r="F18" s="48"/>
      <x:c r="G18" s="48"/>
      <x:c r="H18" s="48"/>
    </x:row>
    <x:row r="19">
      <x:c r="A19" s="52" t="str">
        <x:v>Cross-sector / other</x:v>
      </x:c>
      <x:c r="B19" s="52" t="n">
        <x:f>COUNTIF('Incident Register'!$F$2:$F$32,A19)</x:f>
        <x:v>6</x:v>
      </x:c>
      <x:c r="C19" s="48"/>
      <x:c r="D19" s="48"/>
      <x:c r="E19" s="48"/>
      <x:c r="F19" s="48"/>
      <x:c r="G19" s="48"/>
      <x:c r="H19" s="48"/>
    </x:row>
    <x:row r="20">
      <x:c r="A20" s="48"/>
      <x:c r="B20" s="48"/>
      <x:c r="C20" s="48"/>
      <x:c r="D20" s="48"/>
      <x:c r="E20" s="48"/>
      <x:c r="F20" s="48"/>
      <x:c r="G20" s="48"/>
      <x:c r="H20" s="48"/>
    </x:row>
    <x:row r="21">
      <x:c r="A21" s="53" t="str">
        <x:v>Interpretation note: traffic lights describe confidence in a proposition, not severity. Pattern status, common-operator confidence and strategic-campaign confidence are separate. Actor claims are evidence events, not formal attribution.</x:v>
      </x:c>
      <x:c r="B21" s="53"/>
      <x:c r="C21" s="53"/>
      <x:c r="D21" s="53"/>
      <x:c r="E21" s="53"/>
      <x:c r="F21" s="53"/>
      <x:c r="G21" s="53"/>
      <x:c r="H21" s="53"/>
    </x:row>
    <x:row r="22">
      <x:c r="A22" s="53"/>
      <x:c r="B22" s="53"/>
      <x:c r="C22" s="53"/>
      <x:c r="D22" s="53"/>
      <x:c r="E22" s="53"/>
      <x:c r="F22" s="53"/>
      <x:c r="G22" s="53"/>
      <x:c r="H22" s="53"/>
    </x:row>
    <x:row r="23">
      <x:c r="A23" s="53"/>
      <x:c r="B23" s="53"/>
      <x:c r="C23" s="53"/>
      <x:c r="D23" s="53"/>
      <x:c r="E23" s="53"/>
      <x:c r="F23" s="53"/>
      <x:c r="G23" s="53"/>
      <x:c r="H23" s="53"/>
    </x:row>
  </x:sheetData>
  <x:mergeCells>
    <x:mergeCell ref="A1:H1"/>
    <x:mergeCell ref="A21:H23"/>
  </x:mergeCells>
  <x:pageMargins left="0.7" right="0.7" top="0.75" bottom="0.75" header="0.3" footer="0.3"/>
  <x:drawing xmlns:r="http://schemas.openxmlformats.org/officeDocument/2006/relationships" r:id="R38091e8f00bf4d4a"/>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30" hidden="0" customWidth="1"/>
    <x:col min="11" max="11" width="30" hidden="0" customWidth="1"/>
    <x:col min="12" max="12" width="30" hidden="0" customWidth="1"/>
    <x:col min="13" max="13" width="30" hidden="0" customWidth="1"/>
    <x:col min="14" max="14" width="30" hidden="0" customWidth="1"/>
    <x:col min="15" max="15" width="18" hidden="0" customWidth="1"/>
  </x:cols>
  <x:sheetData>
    <x:row r="1" ht="52.79999923706055" hidden="0" customHeight="1">
      <x:c r="A1" s="54" t="str">
        <x:v>Campaign / Cluster</x:v>
      </x:c>
      <x:c r="B1" s="54" t="str">
        <x:v>First Observed</x:v>
      </x:c>
      <x:c r="C1" s="54" t="str">
        <x:v>Latest Observed</x:v>
      </x:c>
      <x:c r="D1" s="54" t="str">
        <x:v>Countries / Region</x:v>
      </x:c>
      <x:c r="E1" s="54" t="str">
        <x:v>Sectors</x:v>
      </x:c>
      <x:c r="F1" s="54" t="str">
        <x:v>Pattern Status</x:v>
      </x:c>
      <x:c r="G1" s="54" t="str">
        <x:v>Common Operator Confidence</x:v>
      </x:c>
      <x:c r="H1" s="54" t="str">
        <x:v>Common Sponsor Confidence</x:v>
      </x:c>
      <x:c r="I1" s="54" t="str">
        <x:v>Iranian Link</x:v>
      </x:c>
      <x:c r="J1" s="54" t="str">
        <x:v>Operational Development</x:v>
      </x:c>
      <x:c r="K1" s="54" t="str">
        <x:v>Attribution Development</x:v>
      </x:c>
      <x:c r="L1" s="54" t="str">
        <x:v>Rival Explanations</x:v>
      </x:c>
      <x:c r="M1" s="54" t="str">
        <x:v>Trend Change Since 28 Feb</x:v>
      </x:c>
      <x:c r="N1" s="54" t="str">
        <x:v>Sources</x:v>
      </x:c>
      <x:c r="O1" s="54" t="str">
        <x:v>Last Reviewed</x:v>
      </x:c>
    </x:row>
    <x:row r="2" ht="410.3999938964844" hidden="0" customHeight="1">
      <x:c r="A2" s="55" t="str">
        <x:v>US municipal water OT campaign</x:v>
      </x:c>
      <x:c r="B2" s="56" t="n">
        <x:v>46229</x:v>
      </x:c>
      <x:c r="C2" s="56" t="n">
        <x:v>46253</x:v>
      </x:c>
      <x:c r="D2" s="55" t="str">
        <x:v>United States — at least 12 states</x:v>
      </x:c>
      <x:c r="E2" s="55" t="str">
        <x:v>Water and wastewater / OT</x:v>
      </x:c>
      <x:c r="F2" s="55" t="str">
        <x:v>🔴 Established campaign pattern</x:v>
      </x:c>
      <x:c r="G2" s="55" t="str">
        <x:v>🟡 Probable for Minnesota/core wave; wider wave may include multiple operators</x:v>
      </x:c>
      <x:c r="H2" s="55" t="str">
        <x:v>🟡 Probable Iran-linked core wave; formal campaign attribution absent</x:v>
      </x:c>
      <x:c r="I2" s="55" t="str">
        <x:v>🟡 Strengthened: reported intelligence assessment + APT IRAN/CyberAv3ngers claim</x:v>
      </x:c>
      <x:c r="J2" s="55" t="str">
        <x:v>Minnesota &gt;30 systems → at least seven states → Michigan nine systems → at least 12 states; operational effects occurred within the wider wave. The 19 August Siemens warning broadened the defensive technology perimeter without adding a confirmed water victim.</x:v>
      </x:c>
      <x:c r="K2" s="55" t="str">
        <x:v>Investigative suspicion → reported intelligence assessment likely Iran → aligned actor claim → formal federal attribution still absent on 19 August, 19 days after the presidential rejection.</x:v>
      </x:c>
      <x:c r="L2" s="55" t="str">
        <x:v>False/exaggerated claim; multiple actors; copycats; opportunistic exploitation of exposed OT.</x:v>
      </x:c>
      <x:c r="M2" s="55" t="str">
        <x:v>Strongest operational and Iran-relevant pattern. Recurrence, common operator, formal state direction and the broader Siemens threat surface remain separate propositions.</x:v>
      </x:c>
      <x:c r="N2" s="55" t="str">
        <x:v>https://www.reuters.com/world/us-warns-siemens-devices-can-be-hacked-amid-fears-iran-is-breaching-water-plants-2026-08-19/ | https://kstp.com/kstp-news/top-news/hacking-group-linked-to-iran-claims-responsibility-for-cyberattack-on-minnesota-water-systems-report-says/ | https://www.cisa.gov/news-events/cybersecurity-advisories/aa23-335a | https://www.fbi.gov/investigate/cyber/alerts/2026/malicious-cyber-actors-targeting-water-and-wastewater-sector-internet--facing-programmable-logic-controllers-causing-operational-disruptions | https://www.cisa.gov/news-events/cybersecurity-advisories/aa26-231a</x:v>
      </x:c>
      <x:c r="O2" s="56" t="n">
        <x:v>46254</x:v>
      </x:c>
    </x:row>
    <x:row r="3" ht="237.60000610351562" hidden="0" customHeight="1">
      <x:c r="A3" s="55" t="str">
        <x:v>US local-government service disruption cluster</x:v>
      </x:c>
      <x:c r="B3" s="56" t="n">
        <x:v>46241</x:v>
      </x:c>
      <x:c r="C3" s="56" t="n">
        <x:v>46246</x:v>
      </x:c>
      <x:c r="D3" s="55" t="str">
        <x:v>United States — California / South Carolina / wider municipal watch</x:v>
      </x:c>
      <x:c r="E3" s="55" t="str">
        <x:v>Government administration / public safety</x:v>
      </x:c>
      <x:c r="F3" s="55" t="str">
        <x:v>🟠 Credible cluster</x:v>
      </x:c>
      <x:c r="G3" s="55" t="str">
        <x:v>⚪ Open / heterogeneous</x:v>
      </x:c>
      <x:c r="H3" s="55" t="str">
        <x:v>⚪ Open; no Iran evidence found</x:v>
      </x:c>
      <x:c r="I3" s="55" t="str">
        <x:v>⚪ No public Iran evidence</x:v>
      </x:c>
      <x:c r="J3" s="55" t="str">
        <x:v>Suisun public-safety and city-service disruption required dispatch fallback; Darlington limited services while preserving 911. Other municipal incidents remain under watch.</x:v>
      </x:c>
      <x:c r="K3" s="55" t="str">
        <x:v>Suisun perpetrator demand strengthened a criminal/extortion explanation; Darlington remains unattributed.</x:v>
      </x:c>
      <x:c r="L3" s="55" t="str">
        <x:v>Ordinary ransomware, extortion and opportunistic municipal intrusion; unrelated actors exploiting uneven defence.</x:v>
      </x:c>
      <x:c r="M3" s="55" t="str">
        <x:v>Clustering in essential local functions is increasing, while common sponsorship is becoming less defensible as an assumption.</x:v>
      </x:c>
      <x:c r="N3" s="55" t="str">
        <x:v>https://www.suisun.com/Community/20260807Cybersecurity-Incident-Updates | https://www.sfchronicle.com/bayarea/article/suisun-city-cyberattack-demand-22384401.php | https://www.wmbfnews.com/2026/08/12/cybersecurity-incident-limits-some-services-darlington-county/</x:v>
      </x:c>
      <x:c r="O3" s="56" t="n">
        <x:v>46250</x:v>
      </x:c>
    </x:row>
    <x:row r="4" ht="270" hidden="0" customHeight="1">
      <x:c r="A4" s="55" t="str">
        <x:v>US healthcare disruption / extortion cluster</x:v>
      </x:c>
      <x:c r="B4" s="56" t="n">
        <x:v>46092</x:v>
      </x:c>
      <x:c r="C4" s="56" t="n">
        <x:v>46245</x:v>
      </x:c>
      <x:c r="D4" s="55" t="str">
        <x:v>United States / Ireland</x:v>
      </x:c>
      <x:c r="E4" s="55" t="str">
        <x:v>Healthcare and medical supply</x:v>
      </x:c>
      <x:c r="F4" s="55" t="str">
        <x:v>🟠 Credible cluster</x:v>
      </x:c>
      <x:c r="G4" s="55" t="str">
        <x:v>⚪ Multiple known/claimed actors</x:v>
      </x:c>
      <x:c r="H4" s="55" t="str">
        <x:v>⚪ Common sponsor not established</x:v>
      </x:c>
      <x:c r="I4" s="55" t="str">
        <x:v>Mixed: Stryker Iran-linked actor claim; AnMed no Iran evidence</x:v>
      </x:c>
      <x:c r="J4" s="55" t="str">
        <x:v>Stryker supply-chain disruption and AnMed clinical/administrative disruption show different mechanisms and actor ecosystems.</x:v>
      </x:c>
      <x:c r="K4" s="55" t="str">
        <x:v>AnMed's attacker-controlled Facebook ransom posts strengthened The Gentlemen/criminal attribution without validating every data claim.</x:v>
      </x:c>
      <x:c r="L4" s="55" t="str">
        <x:v>Separate criminal, state-linked, proxy or opportunistic operations; no basis for one healthcare sponsor.</x:v>
      </x:c>
      <x:c r="M4" s="55" t="str">
        <x:v>Healthcare disruption is established as an effects pattern, not as a single campaign.</x:v>
      </x:c>
      <x:c r="N4" s="55" t="str">
        <x:v>https://www.reuters.com/technology/stryker-shares-fall-after-report-suspected-iran-linked-cyberattack-2026-03-11/ | https://therecord.media/ransomware-group-hijacks-hospital-facebook-amid-cyberattack-response | https://www.healthcaredive.com/news/anmed-facilities-remain-closed-week-after-cyberattack/827160/</x:v>
      </x:c>
      <x:c r="O4" s="56" t="n">
        <x:v>46250</x:v>
      </x:c>
    </x:row>
    <x:row r="5" ht="291.6000061035156" hidden="0" customHeight="1">
      <x:c r="A5" s="55" t="str">
        <x:v>Transport and contracted-logistics watch</x:v>
      </x:c>
      <x:c r="B5" s="56" t="n">
        <x:v>46082</x:v>
      </x:c>
      <x:c r="C5" s="56" t="n">
        <x:v>46244</x:v>
      </x:c>
      <x:c r="D5" s="55" t="str">
        <x:v>United States / Europe</x:v>
      </x:c>
      <x:c r="E5" s="55" t="str">
        <x:v>Transport / ports / contract logistics</x:v>
      </x:c>
      <x:c r="F5" s="55" t="str">
        <x:v>🟡 Possible recurrence / adjacent watch</x:v>
      </x:c>
      <x:c r="G5" s="55" t="str">
        <x:v>⚪ Open</x:v>
      </x:c>
      <x:c r="H5" s="55" t="str">
        <x:v>⚪ Open</x:v>
      </x:c>
      <x:c r="I5" s="55" t="str">
        <x:v>⚪ No common Iran attribution</x:v>
      </x:c>
      <x:c r="J5" s="55" t="str">
        <x:v>Los Angeles Metro recovery impact and CEVA warehouse/shipment disruption show transport dependencies; port/OT and strategic-cargo effects require separate proof.</x:v>
      </x:c>
      <x:c r="K5" s="55" t="str">
        <x:v>LA Metro received researcher-led Iran/MOIS attribution; CEVA remains unattributed and is classified adjacent.</x:v>
      </x:c>
      <x:c r="L5" s="55" t="str">
        <x:v>Unrelated enterprise-IT incidents, ransomware or ordinary cybercrime; shared sector does not establish shared actor.</x:v>
      </x:c>
      <x:c r="M5" s="55" t="str">
        <x:v>The logistics layer merits monitoring without automatically promoting every warehouse breach to essential-state infrastructure.</x:v>
      </x:c>
      <x:c r="N5" s="55" t="str">
        <x:v>https://techcrunch.com/2026/05/26/iranian-hackers-blamed-for-breach-of-los-angeles-transit-system-that-took-weeks-to-recover/ | https://therecord.media/ceva-logistics-cyberattack-bol-steam-debijenkorf-ace-tate | https://www.freightwaves.com/news/cyberattack-on-ceva-logistics-warehouses-in-europe-impacts-retailers</x:v>
      </x:c>
      <x:c r="O5" s="56" t="n">
        <x:v>46250</x:v>
      </x:c>
    </x:row>
    <x:row r="6" ht="194.39999389648438" hidden="0" customHeight="1">
      <x:c r="A6" s="55" t="str">
        <x:v>US financial-sector vishing/extortion campaign</x:v>
      </x:c>
      <x:c r="B6" s="56" t="n">
        <x:v>46023</x:v>
      </x:c>
      <x:c r="C6" s="56" t="n">
        <x:v>46240</x:v>
      </x:c>
      <x:c r="D6" s="55" t="str">
        <x:v>United States / wider North America</x:v>
      </x:c>
      <x:c r="E6" s="55" t="str">
        <x:v>Financial services / financial-market infrastructure</x:v>
      </x:c>
      <x:c r="F6" s="55" t="str">
        <x:v>🔴 Established cybercrime campaign pattern</x:v>
      </x:c>
      <x:c r="G6" s="55" t="str">
        <x:v>🟢 Established criminal threat cluster</x:v>
      </x:c>
      <x:c r="H6" s="55" t="str">
        <x:v>⚪ Open / no state-customer evidence</x:v>
      </x:c>
      <x:c r="I6" s="55" t="str">
        <x:v>⚪ No public Iran evidence</x:v>
      </x:c>
      <x:c r="J6" s="55" t="str">
        <x:v>High-volume vishing and credential harvesting targeted dozens of organisations; successful compromises varied and no systemic market outage was reported.</x:v>
      </x:c>
      <x:c r="K6" s="55" t="str">
        <x:v>Google technical research attributes the activity to UNC6671 / BlackFile-related financially motivated extortion.</x:v>
      </x:c>
      <x:c r="L6" s="55" t="str">
        <x:v>Straightforward criminal extortion leads; state use or later access resale cannot be inferred without evidence.</x:v>
      </x:c>
      <x:c r="M6" s="55" t="str">
        <x:v>A coherent criminal campaign inside the systemic-finance perimeter should not be merged into the Iran line.</x:v>
      </x:c>
      <x:c r="N6" s="55" t="str">
        <x:v>https://www.reuters.com/world/hackers-targeted-us-private-equity-other-firms-including-blackstone-cme-data-2026-08-06/ | https://cloud.google.com/blog/topics/threat-intelligence/blackfile-vishing-extortion-operation/</x:v>
      </x:c>
      <x:c r="O6" s="56" t="n">
        <x:v>46250</x:v>
      </x:c>
    </x:row>
    <x:row r="7" ht="280.5" customHeight="1">
      <x:c r="A7" s="38" t="str">
        <x:v>Cl0p Windchill / FlexPLM mass-extortion campaign</x:v>
      </x:c>
      <x:c r="B7" s="61" t="n">
        <x:v>46247</x:v>
      </x:c>
      <x:c r="C7" s="61" t="n">
        <x:v>46247</x:v>
      </x:c>
      <x:c r="D7" s="38" t="str">
        <x:v>International / cross-sector</x:v>
      </x:c>
      <x:c r="E7" s="38" t="str">
        <x:v>Enterprise engineering / product-lifecycle platforms</x:v>
      </x:c>
      <x:c r="F7" s="38" t="str">
        <x:v>🔴 Established cybercrime campaign pattern</x:v>
      </x:c>
      <x:c r="G7" s="38" t="str">
        <x:v>🟡 Probable shared Cl0p campaign; victim-level claims vary</x:v>
      </x:c>
      <x:c r="H7" s="38" t="str">
        <x:v>⚪ No state-customer evidence</x:v>
      </x:c>
      <x:c r="I7" s="38" t="str">
        <x:v>⚪ No public Iran evidence</x:v>
      </x:c>
      <x:c r="J7" s="38" t="str">
        <x:v>One shared software opportunity produced a wide cross-sector victim list; essential-service operational effects were not generally established.</x:v>
      </x:c>
      <x:c r="K7" s="38" t="str">
        <x:v>Cl0p claim + PTC vulnerability advisory + mixed victim confirmations support a criminal mass-extortion mechanism more strongly than strategic Iranian selection.</x:v>
      </x:c>
      <x:c r="L7" s="38" t="str">
        <x:v>Exaggerated or incomplete victim claims; different compromise depths; post-access selection varies by target.</x:v>
      </x:c>
      <x:c r="M7" s="38" t="str">
        <x:v>Shows why cross-sector clustering can arise from shared technology without one state sponsor or deliberate sector-by-sector tasking.</x:v>
      </x:c>
      <x:c r="N7" s="38" t="str">
        <x:v>https://www.reuters.com/legal/government/philips-shell-targeted-by-hacking-group-2026-08-13/ | https://www.ptc.com/en/about/trust-center/advisory-center/active-advisories/windchill-flexplm-rce-vulnerability</x:v>
      </x:c>
      <x:c r="O7" s="61" t="n">
        <x:v>46254</x:v>
      </x:c>
    </x:row>
    <x:row r="8" ht="302.25" customHeight="1">
      <x:c r="A8" s="38" t="str">
        <x:v>French public-administration data-exposure cluster</x:v>
      </x:c>
      <x:c r="B8" s="61" t="n">
        <x:v>46199</x:v>
      </x:c>
      <x:c r="C8" s="61" t="n">
        <x:v>46251</x:v>
      </x:c>
      <x:c r="D8" s="38" t="str">
        <x:v>France</x:v>
      </x:c>
      <x:c r="E8" s="38" t="str">
        <x:v>Tax administration / government data</x:v>
      </x:c>
      <x:c r="F8" s="38" t="str">
        <x:v>🟠 Credible cluster</x:v>
      </x:c>
      <x:c r="G8" s="38" t="str">
        <x:v>⚪ Open; further breach under assessment</x:v>
      </x:c>
      <x:c r="H8" s="38" t="str">
        <x:v>⚪ Open; criminal monetisation currently favoured</x:v>
      </x:c>
      <x:c r="I8" s="38" t="str">
        <x:v>⚪ No public Iran evidence</x:v>
      </x:c>
      <x:c r="J8" s="38" t="str">
        <x:v>Confirmed tax-data extraction affected about 700,000 taxpayers; service disruption and record manipulation were not established. A further breach remained under assessment.</x:v>
      </x:c>
      <x:c r="K8" s="38" t="str">
        <x:v>ZeroBytes sale claim and the monetisation route favour ordinary cybercrime; continuing-access and wider-scale claims remain unconfirmed.</x:v>
      </x:c>
      <x:c r="L8" s="38" t="str">
        <x:v>Different criminal operators, credential reuse, access resale or unrelated public-sector weaknesses.</x:v>
      </x:c>
      <x:c r="M8" s="38" t="str">
        <x:v>Expands the public-administration confidentiality-loss pattern without strengthening a common Iranian-campaign hypothesis.</x:v>
      </x:c>
      <x:c r="N8" s="38" t="str">
        <x:v>https://www.reuters.com/legal/litigation/french-taxpayers-data-stolen-cyber-attack-french-finance-ministry-says-2026-08-14/ | https://www.reuters.com/world/france-use-ai-tools-test-cybsecurity-vulnerabilities-after-tax-agency-hacking-2026-08-18/ | https://www.lemonde.fr/en/pixels/article/2026/08/14/french-taxpayers-data-stolen-in-hack-of-finance-ministry_6756510_13.html</x:v>
      </x:c>
      <x:c r="O8" s="61" t="n">
        <x:v>46254</x:v>
      </x:c>
    </x:row>
  </x:sheetData>
  <x:pageMargins left="0.7" right="0.7" top="0.75" bottom="0.75" header="0.3" footer="0.3"/>
  <x:tableParts count="1">
    <x:tablePart xmlns:r="http://schemas.openxmlformats.org/officeDocument/2006/relationships" r:id="Rb0299a4c96af4f6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05" hidden="0" customWidth="1"/>
  </x:cols>
  <x:sheetData>
    <x:row r="1" ht="15" hidden="0" customHeight="1">
      <x:c r="A1" s="57" t="str">
        <x:v>Method</x:v>
      </x:c>
      <x:c r="B1" s="57" t="str">
        <x:v>Description</x:v>
      </x:c>
    </x:row>
    <x:row r="2" ht="26.399999618530273" hidden="0" customHeight="1">
      <x:c r="A2" s="58" t="str">
        <x:v>Purpose</x:v>
      </x:c>
      <x:c r="B2" s="58" t="str">
        <x:v>Track publicly reported incidents, clusters, attribution/context developments and stakeholder consequences affecting essential functions during the Iran war without treating inclusion as attribution.</x:v>
      </x:c>
    </x:row>
    <x:row r="3" ht="26.399999618530273" hidden="0" customHeight="1">
      <x:c r="A3" s="58" t="str">
        <x:v>Routing outcomes</x:v>
      </x:c>
      <x:c r="B3" s="58" t="str">
        <x:v>CORE = actual incident affecting an essential function; ADJACENT = strategically relevant but below the core threshold; CONTEXT = attribution, threat, policy or consequence development; EXCLUDED = rejected/duplicate/unsupported.</x:v>
      </x:c>
    </x:row>
    <x:row r="4" ht="26.399999618530273" hidden="0" customHeight="1">
      <x:c r="A4" s="58" t="str">
        <x:v>Linked objects</x:v>
      </x:c>
      <x:c r="B4" s="58" t="str">
        <x:v>Incident; actor claim; attribution update; defensive advisory; charging/enforcement event; preparedness/governance event; cluster; and stakeholder consequence. Do not force different event types into one row where the distinction would be lost.</x:v>
      </x:c>
    </x:row>
    <x:row r="5" ht="26.399999618530273" hidden="0" customHeight="1">
      <x:c r="A5" s="58" t="str">
        <x:v>Traffic lights</x:v>
      </x:c>
      <x:c r="B5" s="58" t="str">
        <x:v>🟢 established/confirmed; 🟡 probable; 🟠 suspected/developing; ⚪ open/unattributed; ❌ excluded. The light belongs to the proposition, not the whole incident.</x:v>
      </x:c>
    </x:row>
    <x:row r="6" ht="15" hidden="0" customHeight="1">
      <x:c r="A6" s="58" t="str">
        <x:v>Actor claims</x:v>
      </x:c>
      <x:c r="B6" s="58" t="str">
        <x:v>📣 Actor-claimed is a modifier, not a confidence level or formal attribution.</x:v>
      </x:c>
    </x:row>
    <x:row r="7" ht="15" hidden="0" customHeight="1">
      <x:c r="A7" s="58" t="str">
        <x:v>Pattern axes</x:v>
      </x:c>
      <x:c r="B7" s="58" t="str">
        <x:v>Pattern confidence, organising-mechanism confidence, common-operator confidence and strategic-campaign confidence are separate.</x:v>
      </x:c>
    </x:row>
    <x:row r="8" ht="26.399999618530273" hidden="0" customHeight="1">
      <x:c r="A8" s="58" t="str">
        <x:v>Attribution stack</x:v>
      </x:c>
      <x:c r="B8" s="58" t="str">
        <x:v>Technical operator → infrastructure/tooling → access broker/intermediary → customer/tasker → state affiliation → state direction → beneficiary/amplifier.</x:v>
      </x:c>
    </x:row>
    <x:row r="9" ht="26.399999618530273" hidden="0" customHeight="1">
      <x:c r="A9" s="58" t="str">
        <x:v>Criminal / state rule</x:v>
      </x:c>
      <x:c r="B9" s="58" t="str">
        <x:v>CRIMINAL OPERATOR ≠ NO STATE CUSTOMER, and CRIMINAL OPERATOR ≠ STATE CUSTOMER. State use, resale or later tasking requires evidence.</x:v>
      </x:c>
    </x:row>
    <x:row r="10" ht="26.399999618530273" hidden="0" customHeight="1">
      <x:c r="A10" s="58" t="str">
        <x:v>Source rule</x:v>
      </x:c>
      <x:c r="B10" s="58" t="str">
        <x:v>Use plain-text URLs. Separate affected operator, government/technical advisory, law enforcement, specialist sector reporting, independent reporting and actor claims. Repetition is not corroboration.</x:v>
      </x:c>
    </x:row>
    <x:row r="11" ht="15" hidden="0" customHeight="1">
      <x:c r="A11" s="58" t="str">
        <x:v>Unknown states</x:v>
      </x:c>
      <x:c r="B11" s="58" t="str">
        <x:v>Use UNKNOWN, NOT PUBLIC, NO EVIDENCE FOUND, WITHHELD / NCND and NOT APPLICABLE distinctly.</x:v>
      </x:c>
    </x:row>
    <x:row r="12" ht="26.399999618530273" hidden="0" customHeight="1">
      <x:c r="A12" s="58" t="str">
        <x:v>OT rule</x:v>
      </x:c>
      <x:c r="B12" s="58" t="str">
        <x:v>Loss of view ≠ loss of control ≠ attacker control. Record configuration change, monitoring/control loss, physical-process change and manual fallback separately where known.</x:v>
      </x:c>
    </x:row>
    <x:row r="13" ht="15" hidden="0" customHeight="1">
      <x:c r="A13" s="58" t="str">
        <x:v>Legal rule</x:v>
      </x:c>
      <x:c r="B13" s="58" t="str">
        <x:v>Cyber incident ≠ cyber operation regulated by IHL ≠ cyberattack for IHL purposes ≠ IHL violation ≠ prosecutable war crime. State responsibility and individual criminal responsibility remain separate tracks.</x:v>
      </x:c>
    </x:row>
    <x:row r="14" ht="26.399999618530273" hidden="0" customHeight="1">
      <x:c r="A14" s="58" t="str">
        <x:v>Review practice</x:v>
      </x:c>
      <x:c r="B14" s="58" t="str">
        <x:v>Preserve attribution and operational history; allow confidence to move upward or downward; propagate corrections across CSV/XLSX and linked nodes.</x:v>
      </x:c>
    </x:row>
    <x:row r="15" ht="15" hidden="0" customHeight="1">
      <x:c r="A15" s="58" t="str">
        <x:v>Canonical data rule</x:v>
      </x:c>
      <x:c r="B15" s="58" t="str">
        <x:v>The CSV and Incident Register contain the same ordered records and fields. Summary counts are formula-driven from the register.</x:v>
      </x:c>
    </x:row>
    <x:row r="16" ht="15" hidden="0" customHeight="1">
      <x:c r="A16" s="58" t="str">
        <x:v>Coverage</x:v>
      </x:c>
      <x:c r="B16" s="58" t="str">
        <x:v>Provisional and non-exhaustive. Public disclosure is uneven, and some incidents will never be publicly described or attributed.</x:v>
      </x:c>
    </x:row>
    <x:row r="17" ht="15" hidden="0" customHeight="1">
      <x:c r="A17" s="59" t="str">
        <x:v>Last updated</x:v>
      </x:c>
      <x:c r="B17" s="59" t="str">
        <x:v>2026-08-20</x:v>
      </x:c>
    </x:row>
  </x:sheetData>
  <x:pageMargins left="0.7" right="0.7" top="0.75" bottom="0.75" header="0.3" footer="0.3"/>
  <x:tableParts count="1">
    <x:tablePart xmlns:r="http://schemas.openxmlformats.org/officeDocument/2006/relationships" r:id="Re17e8affa0b14d7e"/>
  </x:tableParts>
</x:worksheet>
</file>