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eb41c6753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d92cacb13be46dc"/>
    <x:sheet xmlns:r="http://schemas.openxmlformats.org/officeDocument/2006/relationships" name="Civil_Annual_Baseline" sheetId="2" r:id="R4b04a87af8564078"/>
    <x:sheet xmlns:r="http://schemas.openxmlformats.org/officeDocument/2006/relationships" name="Official_Disruption_Examples" sheetId="3" r:id="Rfa05b1e2fbf948c7"/>
    <x:sheet xmlns:r="http://schemas.openxmlformats.org/officeDocument/2006/relationships" name="2026_Comparison_Framework" sheetId="4" r:id="Re80cdcafdb314cf0"/>
    <x:sheet xmlns:r="http://schemas.openxmlformats.org/officeDocument/2006/relationships" name="Source_Register" sheetId="5" r:id="R1eac19a0e01344c1"/>
    <x:sheet xmlns:r="http://schemas.openxmlformats.org/officeDocument/2006/relationships" name="Backfill_Queue" sheetId="6" r:id="R7fe8f52541234f38"/>
    <x:sheet xmlns:r="http://schemas.openxmlformats.org/officeDocument/2006/relationships" name="Causal_Taxonomy" sheetId="7" r:id="R5b8337d39eb44da7"/>
    <x:sheet xmlns:r="http://schemas.openxmlformats.org/officeDocument/2006/relationships" name="Causal_Event_Ledger" sheetId="8" r:id="R974b7e6142514dbc"/>
    <x:sheet xmlns:r="http://schemas.openxmlformats.org/officeDocument/2006/relationships" name="Causal_Summary" sheetId="9" r:id="R94823ba6d36d46f9"/>
    <x:sheet xmlns:r="http://schemas.openxmlformats.org/officeDocument/2006/relationships" name="Why_By_Year" sheetId="10" r:id="R2c502f3c9b5c4157"/>
    <x:sheet xmlns:r="http://schemas.openxmlformats.org/officeDocument/2006/relationships" name="Military_Official_Ledger" sheetId="11" r:id="R124bed5b52aa4124"/>
    <x:sheet xmlns:r="http://schemas.openxmlformats.org/officeDocument/2006/relationships" name="Military_Coverage_Matrix" sheetId="12" r:id="R48a477de57de4b5a"/>
    <x:sheet xmlns:r="http://schemas.openxmlformats.org/officeDocument/2006/relationships" name="Military_Source_Map" sheetId="13" r:id="R596a4a436ecd4ced"/>
    <x:sheet xmlns:r="http://schemas.openxmlformats.org/officeDocument/2006/relationships" name="Military_Info_System_Cases" sheetId="14" r:id="R2fdda0ad27414d0d"/>
    <x:sheet xmlns:r="http://schemas.openxmlformats.org/officeDocument/2006/relationships" name="Military_Annual_Snapshot" sheetId="15" r:id="R78d2ae2b474f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7A263A"/>
      </x:patternFill>
    </x:fill>
    <x:fill>
      <x:patternFill patternType="solid">
        <x:fgColor rgb="FFF2E8EB"/>
      </x:patternFill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08679e65b4679" /><Relationship Type="http://schemas.openxmlformats.org/officeDocument/2006/relationships/theme" Target="/xl/theme/theme1.xml" Id="R1acfe95fd48a4d01" /><Relationship Type="http://schemas.openxmlformats.org/officeDocument/2006/relationships/sharedStrings" Target="/xl/sharedStrings.xml" Id="Rde303b31ed154ef2" /><Relationship Type="http://schemas.openxmlformats.org/officeDocument/2006/relationships/worksheet" Target="/xl/worksheets/sheet1.xml" Id="Rcd92cacb13be46dc" /><Relationship Type="http://schemas.openxmlformats.org/officeDocument/2006/relationships/worksheet" Target="/xl/worksheets/sheet2.xml" Id="R4b04a87af8564078" /><Relationship Type="http://schemas.openxmlformats.org/officeDocument/2006/relationships/worksheet" Target="/xl/worksheets/sheet3.xml" Id="Rfa05b1e2fbf948c7" /><Relationship Type="http://schemas.openxmlformats.org/officeDocument/2006/relationships/worksheet" Target="/xl/worksheets/sheet4.xml" Id="Re80cdcafdb314cf0" /><Relationship Type="http://schemas.openxmlformats.org/officeDocument/2006/relationships/worksheet" Target="/xl/worksheets/sheet5.xml" Id="R1eac19a0e01344c1" /><Relationship Type="http://schemas.openxmlformats.org/officeDocument/2006/relationships/worksheet" Target="/xl/worksheets/sheet6.xml" Id="R7fe8f52541234f38" /><Relationship Type="http://schemas.openxmlformats.org/officeDocument/2006/relationships/worksheet" Target="/xl/worksheets/sheet7.xml" Id="R5b8337d39eb44da7" /><Relationship Type="http://schemas.openxmlformats.org/officeDocument/2006/relationships/worksheet" Target="/xl/worksheets/sheet8.xml" Id="R974b7e6142514dbc" /><Relationship Type="http://schemas.openxmlformats.org/officeDocument/2006/relationships/worksheet" Target="/xl/worksheets/sheet9.xml" Id="R94823ba6d36d46f9" /><Relationship Type="http://schemas.openxmlformats.org/officeDocument/2006/relationships/worksheet" Target="/xl/worksheets/sheet10.xml" Id="R2c502f3c9b5c4157" /><Relationship Type="http://schemas.openxmlformats.org/officeDocument/2006/relationships/worksheet" Target="/xl/worksheets/sheet11.xml" Id="R124bed5b52aa4124" /><Relationship Type="http://schemas.openxmlformats.org/officeDocument/2006/relationships/worksheet" Target="/xl/worksheets/sheet12.xml" Id="R48a477de57de4b5a" /><Relationship Type="http://schemas.openxmlformats.org/officeDocument/2006/relationships/worksheet" Target="/xl/worksheets/sheet13.xml" Id="R596a4a436ecd4ced" /><Relationship Type="http://schemas.openxmlformats.org/officeDocument/2006/relationships/worksheet" Target="/xl/worksheets/sheet14.xml" Id="R2fdda0ad27414d0d" /><Relationship Type="http://schemas.openxmlformats.org/officeDocument/2006/relationships/worksheet" Target="/xl/worksheets/sheet15.xml" Id="R78d2ae2b474f4d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125807e93d4a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European network flight exposure, 2016–2025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Regime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Flights_millions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'Civil_Annual_Baseline'!$C$2:$C$11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125807e93d4a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vilAnnualBaseline" displayName="CivilAnnualBaseline" ref="A1:I11" headerRowCount="1" totalsRowCount="0" totalsRowShown="0">
  <x:tableColumns count="9">
    <x:tableColumn id="1" name="Year"/>
    <x:tableColumn id="2" name="Regime"/>
    <x:tableColumn id="3" name="Flights_millions"/>
    <x:tableColumn id="4" name="Traffic_value_status"/>
    <x:tableColumn id="5" name="Enroute_ATFM_min_per_flight"/>
    <x:tableColumn id="6" name="Airport_ATFM_min_per_flight"/>
    <x:tableColumn id="7" name="Total_ATFM_min_per_flight"/>
    <x:tableColumn id="8" name="Context / caveat"/>
    <x:tableColumn id="9" name="Primar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DisruptionExamples" displayName="OfficialDisruptionExamples" ref="A1:H7" headerRowCount="1" totalsRowCount="0" totalsRowShown="0">
  <x:tableColumns count="8">
    <x:tableColumn id="1" name="Date"/>
    <x:tableColumn id="2" name="Year"/>
    <x:tableColumn id="3" name="Location"/>
    <x:tableColumn id="4" name="System/event"/>
    <x:tableColumn id="5" name="Official impact"/>
    <x:tableColumn id="6" name="Classification"/>
    <x:tableColumn id="7" name="Why retained"/>
    <x:tableColumn id="8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8265757f6594234" /><Relationship Type="http://schemas.openxmlformats.org/officeDocument/2006/relationships/table" Target="/xl/tables/table1.xml" Id="R62b81894165b4c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7754b08dc845b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0" t="str">
        <x:v>NATO-area aviation resilience baseline</x:v>
      </x:c>
      <x:c r="B1" s="11" t="str"/>
    </x:row>
    <x:row r="2">
      <x:c r="A2" s="12" t="str">
        <x:v>Version</x:v>
      </x:c>
      <x:c r="B2" s="11" t="str">
        <x:v>Working baseline v0.1 — 23 September 2026</x:v>
      </x:c>
    </x:row>
    <x:row r="3">
      <x:c r="A3" s="12" t="str">
        <x:v>Research question</x:v>
      </x:c>
      <x:c r="B3" s="11" t="str">
        <x:v>Does the rate, severity, or character of aviation information/infrastructure failures or non-hostile military aircraft losses during the Iran-war period depart from a longer historical baseline?</x:v>
      </x:c>
    </x:row>
    <x:row r="4">
      <x:c r="A4" s="12" t="str">
        <x:v>Observation window</x:v>
      </x:c>
      <x:c r="B4" s="11" t="str">
        <x:v>28 Feb 2026 – 23 Sep 2026</x:v>
      </x:c>
    </x:row>
    <x:row r="5">
      <x:c r="A5" s="12" t="str">
        <x:v>Control design</x:v>
      </x:c>
      <x:c r="B5" s="11" t="str">
        <x:v>2016–2019 pre-COVID; 2020–2021 COVID/low exposure; 2022–2025 post-COVID/Ukraine-war; 1 Jan–27 Feb 2026 immediate pre-war control.</x:v>
      </x:c>
    </x:row>
    <x:row r="6">
      <x:c r="A6" s="12" t="str">
        <x:v>Core rule</x:v>
      </x:c>
      <x:c r="B6" s="11" t="str">
        <x:v>Do not infer a common cause from clustering. Civil ATM/infrastructure, GNSS/EW interference, military accidents, and VIP aviation-security events remain separate streams until evidence connects them.</x:v>
      </x:c>
    </x:row>
    <x:row r="7">
      <x:c r="A7" s="12" t="str">
        <x:v>Civil scope</x:v>
      </x:c>
      <x:c r="B7" s="11" t="str">
        <x:v>EUROCONTROL Network Manager area / European ATM where official longitudinal data are available. This is not identical to NATO membership and is retained as a regional control series.</x:v>
      </x:c>
    </x:row>
    <x:row r="8">
      <x:c r="A8" s="12" t="str">
        <x:v>Military scope</x:v>
      </x:c>
      <x:c r="B8" s="11" t="str">
        <x:v>NATO-member military aircraft: non-hostile losses/serious accidents. Event-level historical backfill remains a separate workstream because no single NATO-wide public series has yet been identified.</x:v>
      </x:c>
    </x:row>
    <x:row r="9">
      <x:c r="A9" s="12" t="str">
        <x:v>Cause coding</x:v>
      </x:c>
      <x:c r="B9" s="11" t="str">
        <x:v>confirmed digital/IT; confirmed electrical; GNSS/EW; mechanical/physical; collision; hostile fire; friendly fire; unresolved; no evidence of digital involvement.</x:v>
      </x:c>
    </x:row>
    <x:row r="10">
      <x:c r="A10" s="12" t="str">
        <x:v>Interpretation warning</x:v>
      </x:c>
      <x:c r="B10" s="11" t="str">
        <x:v>Raw annual counts are not comparable without exposure. COVID years are flagged and flight-normalised metrics should be preferred where available.</x:v>
      </x:c>
    </x:row>
    <x:row r="12">
      <x:c r="A12" s="30" t="str">
        <x:v>New causal layer</x:v>
      </x:c>
      <x:c r="B12" s="11" t="str">
        <x:v>Causal_Taxonomy defines exactly what 'why' means; Causal_Event_Ledger records proximate cause, resilience failure, confidence, digital relevance, war/EW relevance, and explanation status.</x:v>
      </x:c>
    </x:row>
    <x:row r="13">
      <x:c r="A13" s="30" t="str">
        <x:v>Critical distinction</x:v>
      </x:c>
      <x:c r="B13" s="11" t="str">
        <x:v>'No public evidence of digital involvement' is NOT the same as 'digital involvement ruled out'.</x:v>
      </x:c>
    </x:row>
    <x:row r="14">
      <x:c r="A14" s="30" t="str">
        <x:v>Interpretation</x:v>
      </x:c>
      <x:c r="B14" s="11" t="str">
        <x:v>The ledger must be backfilled under identical inclusion rules before annual proportions are treated as comparative statistics.</x:v>
      </x:c>
    </x:row>
    <x:row r="15">
      <x:c r="A15" s="30" t="str">
        <x:v>Next P0</x:v>
      </x:c>
      <x:c r="B15" s="11" t="str">
        <x:v>Populate significant civil technical events across 2016–2025 and the NATO military accident series, then calculate cause composition by year and exposure.</x:v>
      </x:c>
    </x:row>
    <x:row r="17">
      <x:c r="A17" s="39" t="str">
        <x:v>Military expansion started</x:v>
      </x:c>
      <x:c r="B17" s="11" t="str">
        <x:v>Military_Official_Ledger now seeds the longitudinal military stream from the UK Defence Safety Authority's official Service Inquiry collection.</x:v>
      </x:c>
    </x:row>
    <x:row r="18">
      <x:c r="A18" s="39" t="str">
        <x:v>Coverage discipline</x:v>
      </x:c>
      <x:c r="B18" s="11" t="str">
        <x:v>Military_Coverage_Matrix prevents missing country-years from being mistaken for zero events.</x:v>
      </x:c>
    </x:row>
    <x:row r="19">
      <x:c r="A19" s="39" t="str">
        <x:v>Useful causal control</x:v>
      </x:c>
      <x:c r="B19" s="11" t="str">
        <x:v>The 2021 F-35B ZM152 loss has a published conventional causal factor: an intake blank at the engine compressor during launch.</x:v>
      </x:c>
    </x:row>
    <x:row r="20">
      <x:c r="A20" s="39" t="str">
        <x:v>Next military step</x:v>
      </x:c>
      <x:c r="B20" s="11" t="str">
        <x:v>Map and backfill official accident-investigation sources for the other NATO members; only then calculate NATO-wide annual rates.</x:v>
      </x:c>
    </x:row>
    <x:row r="22">
      <x:c r="A22" s="51" t="str">
        <x:v>Military population pass</x:v>
      </x:c>
      <x:c r="B22" s="11" t="str">
        <x:v>Added official-source US accident investigations plus Finland/Poland/Greece occurrence comparators, alongside the existing UK DSA seed.</x:v>
      </x:c>
    </x:row>
    <x:row r="23">
      <x:c r="A23" s="51" t="str">
        <x:v>Major baseline discovery</x:v>
      </x:c>
      <x:c r="B23" s="11" t="str">
        <x:v>A fatal 2020 USAF F-16 crash had degraded GPS satellite tracking as an official substantial contributing factor. This establishes that military navigation-information degradation is a real pre-2026 comparator.</x:v>
      </x:c>
    </x:row>
    <x:row r="24">
      <x:c r="A24" s="51" t="str">
        <x:v>Boundary</x:v>
      </x:c>
      <x:c r="B24" s="11" t="str">
        <x:v>The 2020 AIB does NOT attribute the GPS degradation to jamming, spoofing or hostile action.</x:v>
      </x:c>
    </x:row>
    <x:row r="25">
      <x:c r="A25" s="51" t="str">
        <x:v>Current completeness</x:v>
      </x:c>
      <x:c r="B25" s="11" t="str">
        <x:v>The military ledger is now useful as a causal-comparator dataset but is still not exhaustive across every NATO member/year; annual rate inference remains blocked until coverage is completed.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5" hidden="0" customWidth="1"/>
    <x:col min="4" max="4" width="28" hidden="0" customWidth="1"/>
    <x:col min="5" max="5" width="20" hidden="0" customWidth="1"/>
    <x:col min="6" max="6" width="20" hidden="0" customWidth="1"/>
    <x:col min="7" max="7" width="18" hidden="0" customWidth="1"/>
    <x:col min="8" max="8" width="55" hidden="0" customWidth="1"/>
    <x:col min="9" max="9" width="48" hidden="0" customWidth="1"/>
  </x:cols>
  <x:sheetData>
    <x:row r="1">
      <x:c r="A1" s="18" t="str">
        <x:v>Year</x:v>
      </x:c>
      <x:c r="B1" s="18" t="str">
        <x:v>Regime</x:v>
      </x:c>
      <x:c r="C1" s="18" t="str">
        <x:v>Flights_millions</x:v>
      </x:c>
      <x:c r="D1" s="18" t="str">
        <x:v>Traffic_value_status</x:v>
      </x:c>
      <x:c r="E1" s="18" t="str">
        <x:v>Enroute_ATFM_min_per_flight</x:v>
      </x:c>
      <x:c r="F1" s="18" t="str">
        <x:v>Airport_ATFM_min_per_flight</x:v>
      </x:c>
      <x:c r="G1" s="18" t="str">
        <x:v>Total_ATFM_min_per_flight</x:v>
      </x:c>
      <x:c r="H1" s="18" t="str">
        <x:v>Context / caveat</x:v>
      </x:c>
      <x:c r="I1" s="18" t="str">
        <x:v>Primary source URL</x:v>
      </x:c>
    </x:row>
    <x:row r="2">
      <x:c r="A2" s="11" t="n">
        <x:v>2016</x:v>
      </x:c>
      <x:c r="B2" s="11" t="str">
        <x:v>Pre-COVID</x:v>
      </x:c>
      <x:c r="C2" s="20" t="n">
        <x:v>10.163</x:v>
      </x:c>
      <x:c r="D2" s="20" t="str">
        <x:v>approx from official avg daily traffic</x:v>
      </x:c>
      <x:c r="E2" s="20" t="n">
        <x:v>0.86</x:v>
      </x:c>
      <x:c r="F2" s="20" t="n">
        <x:v>0.67</x:v>
      </x:c>
      <x:c r="G2" s="20" t="n">
        <x:v>1.53</x:v>
      </x:c>
      <x:c r="H2" s="11" t="str">
        <x:v>High-traffic pre-COVID control. Official report records multiple radar, frequency, VOR, ILS and radio-navigation disruptions.</x:v>
      </x:c>
      <x:c r="I2" s="11" t="str">
        <x:v>https://www.eurocontrol.int/sites/default/files/publication/files/nm-annual-network-operations-report-2016-main-report.pdf</x:v>
      </x:c>
    </x:row>
    <x:row r="3">
      <x:c r="A3" s="11" t="n">
        <x:v>2017</x:v>
      </x:c>
      <x:c r="B3" s="11" t="str">
        <x:v>Pre-COVID</x:v>
      </x:c>
      <x:c r="C3" s="20" t="n">
        <x:v>10.606</x:v>
      </x:c>
      <x:c r="D3" s="20" t="str">
        <x:v>approx from official avg daily traffic</x:v>
      </x:c>
      <x:c r="E3" s="20" t="n">
        <x:v>0.88</x:v>
      </x:c>
      <x:c r="F3" s="20" t="n">
        <x:v>0.62</x:v>
      </x:c>
      <x:c r="G3" s="20" t="n">
        <x:v>1.5</x:v>
      </x:c>
      <x:c r="H3" s="11" t="str">
        <x:v>High-traffic pre-COVID control.</x:v>
      </x:c>
      <x:c r="I3" s="11" t="str">
        <x:v>https://www.eurocontrol.int/publication/annual-network-operations-report-2017</x:v>
      </x:c>
    </x:row>
    <x:row r="4">
      <x:c r="A4" s="11" t="n">
        <x:v>2018</x:v>
      </x:c>
      <x:c r="B4" s="11" t="str">
        <x:v>Pre-COVID</x:v>
      </x:c>
      <x:c r="C4" s="20" t="n">
        <x:v>11.011</x:v>
      </x:c>
      <x:c r="D4" s="20" t="str">
        <x:v>approx from official avg daily traffic</x:v>
      </x:c>
      <x:c r="E4" s="20" t="n">
        <x:v>1.73</x:v>
      </x:c>
      <x:c r="F4" s="20" t="n">
        <x:v>0.6</x:v>
      </x:c>
      <x:c r="G4" s="20" t="n">
        <x:v>2.33</x:v>
      </x:c>
      <x:c r="H4" s="11" t="str">
        <x:v>Severe network-delay year; useful noisy-year control. Included major Network Manager technical outage.</x:v>
      </x:c>
      <x:c r="I4" s="11" t="str">
        <x:v>https://www.eurocontrol.int/publication/annual-network-operations-report-2018</x:v>
      </x:c>
    </x:row>
    <x:row r="5">
      <x:c r="A5" s="11" t="n">
        <x:v>2019</x:v>
      </x:c>
      <x:c r="B5" s="11" t="str">
        <x:v>Pre-COVID</x:v>
      </x:c>
      <x:c r="C5" s="20" t="n">
        <x:v>11.106</x:v>
      </x:c>
      <x:c r="D5" s="20" t="str">
        <x:v>approx from official avg daily traffic</x:v>
      </x:c>
      <x:c r="E5" s="20" t="n">
        <x:v>1.57</x:v>
      </x:c>
      <x:c r="F5" s="20" t="n">
        <x:v>0.6</x:v>
      </x:c>
      <x:c r="G5" s="20" t="n">
        <x:v>2.17</x:v>
      </x:c>
      <x:c r="H5" s="11" t="str">
        <x:v>Pre-pandemic traffic peak; EUROCONTROL described 2019 delay as third-worst of prior decade despite improvement vs 2018.</x:v>
      </x:c>
      <x:c r="I5" s="11" t="str">
        <x:v>https://www.eurocontrol.int/publication/annual-network-operations-report-2019</x:v>
      </x:c>
    </x:row>
    <x:row r="6">
      <x:c r="A6" s="11" t="n">
        <x:v>2020</x:v>
      </x:c>
      <x:c r="B6" s="11" t="str">
        <x:v>COVID</x:v>
      </x:c>
      <x:c r="C6" s="20" t="n">
        <x:v>4.971</x:v>
      </x:c>
      <x:c r="D6" s="20" t="str">
        <x:v>approx from official avg daily traffic</x:v>
      </x:c>
      <x:c r="E6" s="20" t="n">
        <x:v>0.33</x:v>
      </x:c>
      <x:c r="F6" s="20" t="n">
        <x:v>0.2</x:v>
      </x:c>
      <x:c r="G6" s="20" t="n">
        <x:v>0.53</x:v>
      </x:c>
      <x:c r="H6" s="11" t="str">
        <x:v>COVID exposure collapse. EUROCONTROL cautions against in-depth comparison with previous years.</x:v>
      </x:c>
      <x:c r="I6" s="11" t="str">
        <x:v>https://www.eurocontrol.int/publication/annual-network-operations-report-2020</x:v>
      </x:c>
    </x:row>
    <x:row r="7">
      <x:c r="A7" s="11" t="n">
        <x:v>2021</x:v>
      </x:c>
      <x:c r="B7" s="11" t="str">
        <x:v>COVID</x:v>
      </x:c>
      <x:c r="C7" s="20" t="n">
        <x:v>6.2</x:v>
      </x:c>
      <x:c r="D7" s="20" t="str">
        <x:v>official annual figure</x:v>
      </x:c>
      <x:c r="E7" s="20" t="n">
        <x:v>0.29</x:v>
      </x:c>
      <x:c r="F7" s="20" t="n">
        <x:v>0.18</x:v>
      </x:c>
      <x:c r="G7" s="20" t="n">
        <x:v>0.47</x:v>
      </x:c>
      <x:c r="H7" s="11" t="str">
        <x:v>56% of 2019 traffic; recovery year.</x:v>
      </x:c>
      <x:c r="I7" s="11" t="str">
        <x:v>https://www.eurocontrol.int/publication/annual-network-operations-report-2021</x:v>
      </x:c>
    </x:row>
    <x:row r="8">
      <x:c r="A8" s="11" t="n">
        <x:v>2022</x:v>
      </x:c>
      <x:c r="B8" s="11" t="str">
        <x:v>Post-COVID / Ukraine war</x:v>
      </x:c>
      <x:c r="C8" s="20" t="n">
        <x:v>9.3</x:v>
      </x:c>
      <x:c r="D8" s="20" t="str">
        <x:v>official annual figure</x:v>
      </x:c>
      <x:c r="E8" s="20" t="n">
        <x:v>1.8</x:v>
      </x:c>
      <x:c r="F8" s="20" t="n">
        <x:v>0.4</x:v>
      </x:c>
      <x:c r="G8" s="20" t="n">
        <x:v>2.2</x:v>
      </x:c>
      <x:c r="H8" s="11" t="str">
        <x:v>Ukraine airspace closure and increased military operations explicitly identified as network challenges.</x:v>
      </x:c>
      <x:c r="I8" s="11" t="str">
        <x:v>https://www.eurocontrol.int/publication/annual-network-operations-report-2022</x:v>
      </x:c>
    </x:row>
    <x:row r="9">
      <x:c r="A9" s="11" t="n">
        <x:v>2023</x:v>
      </x:c>
      <x:c r="B9" s="11" t="str">
        <x:v>Post-COVID / Ukraine war</x:v>
      </x:c>
      <x:c r="C9" s="20" t="n">
        <x:v>10.2</x:v>
      </x:c>
      <x:c r="D9" s="20" t="str">
        <x:v>official annual figure</x:v>
      </x:c>
      <x:c r="E9" s="20" t="n">
        <x:v>1.8</x:v>
      </x:c>
      <x:c r="F9" s="20"/>
      <x:c r="G9" s="20"/>
      <x:c r="H9" s="11" t="str">
        <x:v>Ukraine closure, increased military operations, weather and Middle East instability affected network.</x:v>
      </x:c>
      <x:c r="I9" s="11" t="str">
        <x:v>https://www.eurocontrol.int/publication/annual-network-operations-report-2023</x:v>
      </x:c>
    </x:row>
    <x:row r="10">
      <x:c r="A10" s="11" t="n">
        <x:v>2024</x:v>
      </x:c>
      <x:c r="B10" s="11" t="str">
        <x:v>Post-COVID / Ukraine war</x:v>
      </x:c>
      <x:c r="C10" s="20" t="n">
        <x:v>10.66</x:v>
      </x:c>
      <x:c r="D10" s="20" t="str">
        <x:v>derived from 2025 11.1m being +4.1% YoY</x:v>
      </x:c>
      <x:c r="E10" s="20" t="n">
        <x:v>2.13</x:v>
      </x:c>
      <x:c r="F10" s="20"/>
      <x:c r="G10" s="20"/>
      <x:c r="H10" s="11" t="str">
        <x:v>En-route ATFM delay reached worst level since 2001; increased military training/exercise requirements also noted.</x:v>
      </x:c>
      <x:c r="I10" s="11" t="str">
        <x:v>https://www.eurocontrol.int/publication/annual-network-operations-report-2024</x:v>
      </x:c>
    </x:row>
    <x:row r="11">
      <x:c r="A11" s="11" t="n">
        <x:v>2025</x:v>
      </x:c>
      <x:c r="B11" s="11" t="str">
        <x:v>Post-COVID / Ukraine war</x:v>
      </x:c>
      <x:c r="C11" s="20" t="n">
        <x:v>11.1</x:v>
      </x:c>
      <x:c r="D11" s="20" t="str">
        <x:v>official annual figure</x:v>
      </x:c>
      <x:c r="E11" s="20" t="n">
        <x:v>1.66</x:v>
      </x:c>
      <x:c r="F11" s="20"/>
      <x:c r="G11" s="20"/>
      <x:c r="H11" s="11" t="str">
        <x:v>Performance improved vs 2024/2023 despite traffic growth; Middle East instability and increased military airspace requirements noted.</x:v>
      </x:c>
      <x:c r="I11" s="11" t="str">
        <x:v>https://www.eurocontrol.int/publication/annual-network-operations-report-2025</x:v>
      </x:c>
    </x:row>
  </x:sheetData>
  <x:pageMargins left="0.7" right="0.7" top="0.75" bottom="0.75" header="0.3" footer="0.3"/>
  <x:drawing xmlns:r="http://schemas.openxmlformats.org/officeDocument/2006/relationships" r:id="R98265757f6594234"/>
  <x:tableParts count="1">
    <x:tablePart xmlns:r="http://schemas.openxmlformats.org/officeDocument/2006/relationships" r:id="R62b81894165b4c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34" hidden="0" customWidth="1"/>
    <x:col min="5" max="5" width="36" hidden="0" customWidth="1"/>
    <x:col min="6" max="6" width="24" hidden="0" customWidth="1"/>
    <x:col min="7" max="7" width="42" hidden="0" customWidth="1"/>
    <x:col min="8" max="8" width="50" hidden="0" customWidth="1"/>
  </x:cols>
  <x:sheetData>
    <x:row r="1">
      <x:c r="A1" s="18" t="str">
        <x:v>Date</x:v>
      </x:c>
      <x:c r="B1" s="18" t="str">
        <x:v>Year</x:v>
      </x:c>
      <x:c r="C1" s="18" t="str">
        <x:v>Location</x:v>
      </x:c>
      <x:c r="D1" s="18" t="str">
        <x:v>System/event</x:v>
      </x:c>
      <x:c r="E1" s="18" t="str">
        <x:v>Official impact</x:v>
      </x:c>
      <x:c r="F1" s="18" t="str">
        <x:v>Classification</x:v>
      </x:c>
      <x:c r="G1" s="18" t="str">
        <x:v>Why retained</x:v>
      </x:c>
      <x:c r="H1" s="18" t="str">
        <x:v>Source URL</x:v>
      </x:c>
    </x:row>
    <x:row r="2">
      <x:c r="A2" s="11" t="str">
        <x:v>2016-01-18</x:v>
      </x:c>
      <x:c r="B2" s="11" t="n">
        <x:v>2016</x:v>
      </x:c>
      <x:c r="C2" s="11" t="str">
        <x:v>Frankfurt/Main</x:v>
      </x:c>
      <x:c r="D2" s="11" t="str">
        <x:v>VOR unserviceability</x:v>
      </x:c>
      <x:c r="E2" s="11" t="str">
        <x:v>2,452 ATFM delay min</x:v>
      </x:c>
      <x:c r="F2" s="11" t="str">
        <x:v>radio-navigation</x:v>
      </x:c>
      <x:c r="G2" s="11" t="str">
        <x:v>Historical technical-failure comparator</x:v>
      </x:c>
      <x:c r="H2" s="11" t="str">
        <x:v>https://www.eurocontrol.int/sites/default/files/publication/files/nm-annual-network-operations-report-2016-main-report.pdf</x:v>
      </x:c>
    </x:row>
    <x:row r="3">
      <x:c r="A3" s="11" t="str">
        <x:v>2016-01-21</x:v>
      </x:c>
      <x:c r="B3" s="11" t="n">
        <x:v>2016</x:v>
      </x:c>
      <x:c r="C3" s="11" t="str">
        <x:v>Istanbul airports</x:v>
      </x:c>
      <x:c r="D3" s="11" t="str">
        <x:v>Radar and frequency problems</x:v>
      </x:c>
      <x:c r="E3" s="11" t="str">
        <x:v>12,656 ATFM delay min</x:v>
      </x:c>
      <x:c r="F3" s="11" t="str">
        <x:v>surveillance/comms</x:v>
      </x:c>
      <x:c r="G3" s="11" t="str">
        <x:v>Historical technical-failure comparator</x:v>
      </x:c>
      <x:c r="H3" s="11" t="str">
        <x:v>https://www.eurocontrol.int/sites/default/files/publication/files/nm-annual-network-operations-report-2016-main-report.pdf</x:v>
      </x:c>
    </x:row>
    <x:row r="4">
      <x:c r="A4" s="11" t="str">
        <x:v>2016-02-04</x:v>
      </x:c>
      <x:c r="B4" s="11" t="n">
        <x:v>2016</x:v>
      </x:c>
      <x:c r="C4" s="11" t="str">
        <x:v>Frankfurt/Main</x:v>
      </x:c>
      <x:c r="D4" s="11" t="str">
        <x:v>ILS unserviceability</x:v>
      </x:c>
      <x:c r="E4" s="11" t="str">
        <x:v>1,295 ATFM delay min</x:v>
      </x:c>
      <x:c r="F4" s="11" t="str">
        <x:v>navigation/landing aid</x:v>
      </x:c>
      <x:c r="G4" s="11" t="str">
        <x:v>Historical technical-failure comparator</x:v>
      </x:c>
      <x:c r="H4" s="11" t="str">
        <x:v>https://www.eurocontrol.int/sites/default/files/publication/files/nm-annual-network-operations-report-2016-main-report.pdf</x:v>
      </x:c>
    </x:row>
    <x:row r="5">
      <x:c r="A5" s="11" t="str">
        <x:v>2016-02-20</x:v>
      </x:c>
      <x:c r="B5" s="11" t="n">
        <x:v>2016</x:v>
      </x:c>
      <x:c r="C5" s="11" t="str">
        <x:v>Zurich</x:v>
      </x:c>
      <x:c r="D5" s="11" t="str">
        <x:v>Radio-navigation / direction-finder problems</x:v>
      </x:c>
      <x:c r="E5" s="11" t="str">
        <x:v>1,024 ATFM delay min</x:v>
      </x:c>
      <x:c r="F5" s="11" t="str">
        <x:v>radio-navigation</x:v>
      </x:c>
      <x:c r="G5" s="11" t="str">
        <x:v>Historical technical-failure comparator</x:v>
      </x:c>
      <x:c r="H5" s="11" t="str">
        <x:v>https://www.eurocontrol.int/sites/default/files/publication/files/nm-annual-network-operations-report-2016-main-report.pdf</x:v>
      </x:c>
    </x:row>
    <x:row r="6">
      <x:c r="A6" s="11" t="str">
        <x:v>2018-04-03</x:v>
      </x:c>
      <x:c r="B6" s="11" t="n">
        <x:v>2018</x:v>
      </x:c>
      <x:c r="C6" s="11" t="str">
        <x:v>EUROCONTROL Network Manager</x:v>
      </x:c>
      <x:c r="D6" s="11" t="str">
        <x:v>Network Manager technical-system outage</x:v>
      </x:c>
      <x:c r="E6" s="11" t="str">
        <x:v>Contingency plan; precautionary capacity/departure-rate reductions</x:v>
      </x:c>
      <x:c r="F6" s="11" t="str">
        <x:v>central ATM technical system</x:v>
      </x:c>
      <x:c r="G6" s="11" t="str">
        <x:v>Large historical system-outage comparator</x:v>
      </x:c>
      <x:c r="H6" s="11" t="str">
        <x:v>https://www.eurocontrol.int/publication/annual-network-operations-report-2018</x:v>
      </x:c>
    </x:row>
    <x:row r="7">
      <x:c r="A7" s="11" t="str">
        <x:v>2024-07</x:v>
      </x:c>
      <x:c r="B7" s="11" t="n">
        <x:v>2024</x:v>
      </x:c>
      <x:c r="C7" s="11" t="str">
        <x:v>EUROCONTROL network</x:v>
      </x:c>
      <x:c r="D7" s="11" t="str">
        <x:v>High en-route ATFM delay month</x:v>
      </x:c>
      <x:c r="E7" s="11" t="str">
        <x:v>6,940,504 ATFM delay min; 6.5 min/flight total</x:v>
      </x:c>
      <x:c r="F7" s="11" t="str">
        <x:v>network performance</x:v>
      </x:c>
      <x:c r="G7" s="11" t="str">
        <x:v>Shows severe non-2026 operational month; not itself a technical outage</x:v>
      </x:c>
      <x:c r="H7" s="11" t="str">
        <x:v>https://www.eurocontrol.int/press-release/july-2024-overview-network-performance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257754b08dc845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8" hidden="0" customWidth="1"/>
    <x:col min="5" max="5" width="35" hidden="0" customWidth="1"/>
    <x:col min="6" max="6" width="34" hidden="0" customWidth="1"/>
    <x:col min="7" max="7" width="38" hidden="0" customWidth="1"/>
    <x:col min="8" max="8" width="30" hidden="0" customWidth="1"/>
    <x:col min="9" max="9" width="16" hidden="0" customWidth="1"/>
  </x:cols>
  <x:sheetData>
    <x:row r="1">
      <x:c r="A1" s="18" t="str">
        <x:v>Period</x:v>
      </x:c>
      <x:c r="B1" s="18" t="str">
        <x:v>Start</x:v>
      </x:c>
      <x:c r="C1" s="18" t="str">
        <x:v>End</x:v>
      </x:c>
      <x:c r="D1" s="18" t="str">
        <x:v>Role</x:v>
      </x:c>
      <x:c r="E1" s="18" t="str">
        <x:v>Civil ATM / infrastructure</x:v>
      </x:c>
      <x:c r="F1" s="18" t="str">
        <x:v>GNSS/EW</x:v>
      </x:c>
      <x:c r="G1" s="18" t="str">
        <x:v>Military non-hostile</x:v>
      </x:c>
      <x:c r="H1" s="18" t="str">
        <x:v>VIP aviation</x:v>
      </x:c>
      <x:c r="I1" s="18" t="str">
        <x:v>Status</x:v>
      </x:c>
    </x:row>
    <x:row r="2">
      <x:c r="A2" s="11" t="str">
        <x:v>Immediate pre-war control</x:v>
      </x:c>
      <x:c r="B2" s="11" t="str">
        <x:v>2026-01-01</x:v>
      </x:c>
      <x:c r="C2" s="11" t="str">
        <x:v>2026-02-27</x:v>
      </x:c>
      <x:c r="D2" s="11" t="str">
        <x:v>Internal control</x:v>
      </x:c>
      <x:c r="E2" s="11" t="str">
        <x:v>Backfill required</x:v>
      </x:c>
      <x:c r="F2" s="11" t="str">
        <x:v>Backfill required</x:v>
      </x:c>
      <x:c r="G2" s="11" t="str">
        <x:v>Backfill required</x:v>
      </x:c>
      <x:c r="H2" s="11" t="str">
        <x:v>Backfill required</x:v>
      </x:c>
      <x:c r="I2" s="11" t="str">
        <x:v>OPEN</x:v>
      </x:c>
    </x:row>
    <x:row r="3">
      <x:c r="A3" s="11" t="str">
        <x:v>Iran-war observation</x:v>
      </x:c>
      <x:c r="B3" s="11" t="str">
        <x:v>2026-02-28</x:v>
      </x:c>
      <x:c r="C3" s="11" t="str">
        <x:v>2026-09-23</x:v>
      </x:c>
      <x:c r="D3" s="11" t="str">
        <x:v>Observation</x:v>
      </x:c>
      <x:c r="E3" s="11" t="str">
        <x:v>Event dataset exists; official-stat backfill in progress</x:v>
      </x:c>
      <x:c r="F3" s="11" t="str">
        <x:v>Documented interference environment; quantify separately</x:v>
      </x:c>
      <x:c r="G3" s="11" t="str">
        <x:v>Event dataset exists; historical denominator/backfill required</x:v>
      </x:c>
      <x:c r="H3" s="11" t="str">
        <x:v>Event dataset exists</x:v>
      </x:c>
      <x:c r="I3" s="11" t="str">
        <x:v>IN PROGRESS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8" hidden="0" customWidth="1"/>
  </x:cols>
  <x:sheetData>
    <x:row r="1">
      <x:c r="A1" s="18" t="str">
        <x:v>Source family</x:v>
      </x:c>
      <x:c r="B1" s="18" t="str">
        <x:v>Coverage</x:v>
      </x:c>
      <x:c r="C1" s="18" t="str">
        <x:v>Use</x:v>
      </x:c>
      <x:c r="D1" s="18" t="str">
        <x:v>Official URL</x:v>
      </x:c>
    </x:row>
    <x:row r="2">
      <x:c r="A2" s="11" t="str">
        <x:v>EUROCONTROL Annual Network Operations Reports</x:v>
      </x:c>
      <x:c r="B2" s="11" t="str">
        <x:v>2016–2025</x:v>
      </x:c>
      <x:c r="C2" s="11" t="str">
        <x:v>Traffic exposure; ATFM delay; network disruptions; ACC/airport technical events</x:v>
      </x:c>
      <x:c r="D2" s="11" t="str">
        <x:v>https://www.eurocontrol.int/network-performance</x:v>
      </x:c>
    </x:row>
    <x:row r="3">
      <x:c r="A3" s="11" t="str">
        <x:v>EUROCONTROL Performance Review Reports</x:v>
      </x:c>
      <x:c r="B3" s="11" t="str">
        <x:v>Longitudinal</x:v>
      </x:c>
      <x:c r="C3" s="11" t="str">
        <x:v>En-route ATFM performance and historical comparison</x:v>
      </x:c>
      <x:c r="D3" s="11" t="str">
        <x:v>https://www.eurocontrol.int/publication/performance-review-report-prr-2025</x:v>
      </x:c>
    </x:row>
    <x:row r="4">
      <x:c r="A4" s="11" t="str">
        <x:v>EUROCONTROL CODA / All-causes delay</x:v>
      </x:c>
      <x:c r="B4" s="11" t="str">
        <x:v>Annual</x:v>
      </x:c>
      <x:c r="C4" s="11" t="str">
        <x:v>Passenger-facing delay/cancellation context</x:v>
      </x:c>
      <x:c r="D4" s="11" t="str">
        <x:v>https://www.eurocontrol.int/publication/all-causes-delays-air-transport-europe-annual-2024</x:v>
      </x:c>
    </x:row>
    <x:row r="5">
      <x:c r="A5" s="11" t="str">
        <x:v>EASA Annual Safety Review</x:v>
      </x:c>
      <x:c r="B5" s="11" t="str">
        <x:v>Annual / 10-year comparisons</x:v>
      </x:c>
      <x:c r="C5" s="11" t="str">
        <x:v>ATM/ANS safety occurrence and system-component-failure context</x:v>
      </x:c>
      <x:c r="D5" s="11" t="str">
        <x:v>https://www.easa.europa.eu/en/publication-types/annual-safety-review</x:v>
      </x:c>
    </x:row>
    <x:row r="6">
      <x:c r="A6" s="11" t="str">
        <x:v>National military safety / service inquiries</x:v>
      </x:c>
      <x:c r="B6" s="11" t="str">
        <x:v>Event-level</x:v>
      </x:c>
      <x:c r="C6" s="11" t="str">
        <x:v>Military accident cause and investigation outcome</x:v>
      </x:c>
      <x:c r="D6" s="11" t="str">
        <x:v>To be populated per NATO member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2" hidden="0" customWidth="1"/>
    <x:col min="4" max="4" width="62" hidden="0" customWidth="1"/>
    <x:col min="5" max="5" width="16" hidden="0" customWidth="1"/>
  </x:cols>
  <x:sheetData>
    <x:row r="1">
      <x:c r="A1" s="18" t="str">
        <x:v>Priority</x:v>
      </x:c>
      <x:c r="B1" s="18" t="str">
        <x:v>Workstream</x:v>
      </x:c>
      <x:c r="C1" s="18" t="str">
        <x:v>Task</x:v>
      </x:c>
      <x:c r="D1" s="18" t="str">
        <x:v>Why needed</x:v>
      </x:c>
      <x:c r="E1" s="18" t="str">
        <x:v>Status</x:v>
      </x:c>
    </x:row>
    <x:row r="2">
      <x:c r="A2" s="11" t="str">
        <x:v>P0</x:v>
      </x:c>
      <x:c r="B2" s="11" t="str">
        <x:v>2026 civil</x:v>
      </x:c>
      <x:c r="C2" s="11" t="str">
        <x:v>Extract Jan–27 Feb and 28 Feb–23 Sep 2026 official EUROCONTROL monthly/weekly technical-disruption metrics</x:v>
      </x:c>
      <x:c r="D2" s="11" t="str">
        <x:v>Creates same-year before/after comparison</x:v>
      </x:c>
      <x:c r="E2" s="11" t="str">
        <x:v>OPEN</x:v>
      </x:c>
    </x:row>
    <x:row r="3">
      <x:c r="A3" s="11" t="str">
        <x:v>P0</x:v>
      </x:c>
      <x:c r="B3" s="11" t="str">
        <x:v>Military</x:v>
      </x:c>
      <x:c r="C3" s="11" t="str">
        <x:v>Build 2016–2025 NATO-member non-hostile military aircraft loss/serious-accident series from national official investigators</x:v>
      </x:c>
      <x:c r="D3" s="11" t="str">
        <x:v>Tests whether 2026 military-loss count is abnormal</x:v>
      </x:c>
      <x:c r="E3" s="11" t="str">
        <x:v>IN PROGRESS</x:v>
      </x:c>
    </x:row>
    <x:row r="4">
      <x:c r="A4" s="11" t="str">
        <x:v>P0</x:v>
      </x:c>
      <x:c r="B4" s="11" t="str">
        <x:v>Military</x:v>
      </x:c>
      <x:c r="C4" s="11" t="str">
        <x:v>Add flying-hours / sortie exposure where official national data permit</x:v>
      </x:c>
      <x:c r="D4" s="11" t="str">
        <x:v>Raw crash counts otherwise confounded by activity</x:v>
      </x:c>
      <x:c r="E4" s="11" t="str">
        <x:v>OPEN</x:v>
      </x:c>
    </x:row>
    <x:row r="5">
      <x:c r="A5" s="11" t="str">
        <x:v>P1</x:v>
      </x:c>
      <x:c r="B5" s="11" t="str">
        <x:v>Civil technical</x:v>
      </x:c>
      <x:c r="C5" s="11" t="str">
        <x:v>Extract annual event-level equipment/technical disruptions from EUROCONTROL reports 2016–2025</x:v>
      </x:c>
      <x:c r="D5" s="11" t="str">
        <x:v>Tests severity and character, not just generic delay</x:v>
      </x:c>
      <x:c r="E5" s="11" t="str">
        <x:v>IN PROGRESS</x:v>
      </x:c>
    </x:row>
    <x:row r="6">
      <x:c r="A6" s="11" t="str">
        <x:v>P1</x:v>
      </x:c>
      <x:c r="B6" s="11" t="str">
        <x:v>GNSS/EW</x:v>
      </x:c>
      <x:c r="C6" s="11" t="str">
        <x:v>Build annual interference series and geography separately</x:v>
      </x:c>
      <x:c r="D6" s="11" t="str">
        <x:v>Prevents conflating known interference environment with accident causation</x:v>
      </x:c>
      <x:c r="E6" s="11" t="str">
        <x:v>OPEN</x:v>
      </x:c>
    </x:row>
    <x:row r="7">
      <x:c r="A7" s="11" t="str">
        <x:v>P1</x:v>
      </x:c>
      <x:c r="B7" s="11" t="str">
        <x:v>EASA</x:v>
      </x:c>
      <x:c r="C7" s="11" t="str">
        <x:v>Extract ATM/ANS serious incidents and system-component-failure series consistently</x:v>
      </x:c>
      <x:c r="D7" s="11" t="str">
        <x:v>Independent safety outcome check</x:v>
      </x:c>
      <x:c r="E7" s="11" t="str">
        <x:v>OPEN</x:v>
      </x:c>
    </x:row>
    <x:row r="8">
      <x:c r="A8" s="11" t="str">
        <x:v>P2</x:v>
      </x:c>
      <x:c r="B8" s="11" t="str">
        <x:v>VIP</x:v>
      </x:c>
      <x:c r="C8" s="11" t="str">
        <x:v>Backfill significant NATO VIP aviation-safety/security events with identical threshold</x:v>
      </x:c>
      <x:c r="D8" s="11" t="str">
        <x:v>Contextual stream; likely sparse</x:v>
      </x:c>
      <x:c r="E8" s="11" t="str">
        <x:v>OPEN</x:v>
      </x:c>
    </x:row>
  </x:sheetData>
  <x:dataValidations count="1">
    <x:dataValidation type="list" sqref="E2:E8">
      <x:formula1>"OPEN,IN PROGRESS,DONE,BLOCKED"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55" hidden="0" customWidth="1"/>
  </x:cols>
  <x:sheetData>
    <x:row r="1">
      <x:c r="A1" s="25" t="str">
        <x:v>Causal code</x:v>
      </x:c>
      <x:c r="B1" s="25" t="str">
        <x:v>Definition</x:v>
      </x:c>
      <x:c r="C1" s="25" t="str">
        <x:v>Digital relevance default</x:v>
      </x:c>
      <x:c r="D1" s="25" t="str">
        <x:v>Use rule</x:v>
      </x:c>
    </x:row>
    <x:row r="2">
      <x:c r="A2" s="11" t="str">
        <x:v>software_failure</x:v>
      </x:c>
      <x:c r="B2" s="11" t="str">
        <x:v>Software defect, crash, timing/race condition, corrupted processing</x:v>
      </x:c>
      <x:c r="C2" s="11" t="str">
        <x:v>confirmed causal</x:v>
      </x:c>
      <x:c r="D2" s="11" t="str">
        <x:v>Only where source identifies software</x:v>
      </x:c>
    </x:row>
    <x:row r="3">
      <x:c r="A3" s="11" t="str">
        <x:v>network_connectivity</x:v>
      </x:c>
      <x:c r="B3" s="11" t="str">
        <x:v>Internal network/data connectivity failure</x:v>
      </x:c>
      <x:c r="C3" s="11" t="str">
        <x:v>confirmed causal</x:v>
      </x:c>
      <x:c r="D3" s="11" t="str">
        <x:v>Network path/connectivity explicitly identified</x:v>
      </x:c>
    </x:row>
    <x:row r="4">
      <x:c r="A4" s="11" t="str">
        <x:v>power_failure</x:v>
      </x:c>
      <x:c r="B4" s="11" t="str">
        <x:v>Primary electrical supply failure</x:v>
      </x:c>
      <x:c r="C4" s="11" t="str">
        <x:v>not inherently digital</x:v>
      </x:c>
      <x:c r="D4" s="11" t="str">
        <x:v>Keep backup behaviour separately</x:v>
      </x:c>
    </x:row>
    <x:row r="5">
      <x:c r="A5" s="11" t="str">
        <x:v>backup_failure</x:v>
      </x:c>
      <x:c r="B5" s="11" t="str">
        <x:v>Redundancy/backup system failed when demanded</x:v>
      </x:c>
      <x:c r="C5" s="11" t="str">
        <x:v>resilience failure</x:v>
      </x:c>
      <x:c r="D5" s="11" t="str">
        <x:v>Secondary cause / resilience field</x:v>
      </x:c>
    </x:row>
    <x:row r="6">
      <x:c r="A6" s="11" t="str">
        <x:v>hardware_failure</x:v>
      </x:c>
      <x:c r="B6" s="11" t="str">
        <x:v>Identified physical computing/ATM equipment failure</x:v>
      </x:c>
      <x:c r="C6" s="11" t="str">
        <x:v>possible/confirmed</x:v>
      </x:c>
      <x:c r="D6" s="11" t="str">
        <x:v>Do not collapse into software</x:v>
      </x:c>
    </x:row>
    <x:row r="7">
      <x:c r="A7" s="11" t="str">
        <x:v>comms_failure</x:v>
      </x:c>
      <x:c r="B7" s="11" t="str">
        <x:v>Voice/radio/data communications failure</x:v>
      </x:c>
      <x:c r="C7" s="11" t="str">
        <x:v>information-system relevant</x:v>
      </x:c>
      <x:c r="D7" s="11" t="str">
        <x:v>Specify voice/radio/datalink where known</x:v>
      </x:c>
    </x:row>
    <x:row r="8">
      <x:c r="A8" s="11" t="str">
        <x:v>surveillance_failure</x:v>
      </x:c>
      <x:c r="B8" s="11" t="str">
        <x:v>Radar/ADS-B/surveillance degradation</x:v>
      </x:c>
      <x:c r="C8" s="11" t="str">
        <x:v>information-system relevant</x:v>
      </x:c>
      <x:c r="D8" s="11" t="str">
        <x:v>Specify sensor/system where known</x:v>
      </x:c>
    </x:row>
    <x:row r="9">
      <x:c r="A9" s="11" t="str">
        <x:v>flight_data_processing</x:v>
      </x:c>
      <x:c r="B9" s="11" t="str">
        <x:v>Flight-plan/trajectory processing failure</x:v>
      </x:c>
      <x:c r="C9" s="11" t="str">
        <x:v>confirmed causal</x:v>
      </x:c>
      <x:c r="D9" s="11" t="str">
        <x:v>ATM processing layer</x:v>
      </x:c>
    </x:row>
    <x:row r="10">
      <x:c r="A10" s="11" t="str">
        <x:v>datalink_cpdlc</x:v>
      </x:c>
      <x:c r="B10" s="11" t="str">
        <x:v>Controller–pilot datalink failure</x:v>
      </x:c>
      <x:c r="C10" s="11" t="str">
        <x:v>confirmed causal</x:v>
      </x:c>
      <x:c r="D10" s="11" t="str">
        <x:v>CPDLC/datalink only</x:v>
      </x:c>
    </x:row>
    <x:row r="11">
      <x:c r="A11" s="11" t="str">
        <x:v>gnss_jamming</x:v>
      </x:c>
      <x:c r="B11" s="11" t="str">
        <x:v>Intentional denial/degradation of GNSS</x:v>
      </x:c>
      <x:c r="C11" s="11" t="str">
        <x:v>confirmed EW if established</x:v>
      </x:c>
      <x:c r="D11" s="11" t="str">
        <x:v>Do not infer from navigation anomaly alone</x:v>
      </x:c>
    </x:row>
    <x:row r="12">
      <x:c r="A12" s="11" t="str">
        <x:v>gnss_spoofing</x:v>
      </x:c>
      <x:c r="B12" s="11" t="str">
        <x:v>Counterfeit GNSS signals causing false PNT</x:v>
      </x:c>
      <x:c r="C12" s="11" t="str">
        <x:v>confirmed EW if established</x:v>
      </x:c>
      <x:c r="D12" s="11" t="str">
        <x:v>Do not infer from navigation anomaly alone</x:v>
      </x:c>
    </x:row>
    <x:row r="13">
      <x:c r="A13" s="11" t="str">
        <x:v>other_emi_ew</x:v>
      </x:c>
      <x:c r="B13" s="11" t="str">
        <x:v>Other electromagnetic interference/electronic warfare</x:v>
      </x:c>
      <x:c r="C13" s="11" t="str">
        <x:v>confirmed/suspected</x:v>
      </x:c>
      <x:c r="D13" s="11" t="str">
        <x:v>Requires evidence</x:v>
      </x:c>
    </x:row>
    <x:row r="14">
      <x:c r="A14" s="11" t="str">
        <x:v>aircraft_avionics</x:v>
      </x:c>
      <x:c r="B14" s="11" t="str">
        <x:v>Onboard avionics/electronic-system failure</x:v>
      </x:c>
      <x:c r="C14" s="11" t="str">
        <x:v>digital/electronic causal</x:v>
      </x:c>
      <x:c r="D14" s="11" t="str">
        <x:v>Aircraft rather than ATM</x:v>
      </x:c>
    </x:row>
    <x:row r="15">
      <x:c r="A15" s="11" t="str">
        <x:v>flight_controls</x:v>
      </x:c>
      <x:c r="B15" s="11" t="str">
        <x:v>Flight-control-system fault</x:v>
      </x:c>
      <x:c r="C15" s="11" t="str">
        <x:v>possible digital/mechanical</x:v>
      </x:c>
      <x:c r="D15" s="11" t="str">
        <x:v>Preserve specific mechanism</x:v>
      </x:c>
    </x:row>
    <x:row r="16">
      <x:c r="A16" s="11" t="str">
        <x:v>engine_propulsion</x:v>
      </x:c>
      <x:c r="B16" s="11" t="str">
        <x:v>Engine/propulsion failure</x:v>
      </x:c>
      <x:c r="C16" s="11" t="str">
        <x:v>normally non-digital</x:v>
      </x:c>
      <x:c r="D16" s="11" t="str">
        <x:v>Unless source says control/electronic component</x:v>
      </x:c>
    </x:row>
    <x:row r="17">
      <x:c r="A17" s="11" t="str">
        <x:v>structural_mechanical</x:v>
      </x:c>
      <x:c r="B17" s="11" t="str">
        <x:v>Other physical aircraft failure</x:v>
      </x:c>
      <x:c r="C17" s="11" t="str">
        <x:v>normally non-digital</x:v>
      </x:c>
      <x:c r="D17" s="11" t="str">
        <x:v>Mechanical/structural</x:v>
      </x:c>
    </x:row>
    <x:row r="18">
      <x:c r="A18" s="11" t="str">
        <x:v>bird_wildlife</x:v>
      </x:c>
      <x:c r="B18" s="11" t="str">
        <x:v>Bird/wildlife strike</x:v>
      </x:c>
      <x:c r="C18" s="11" t="str">
        <x:v>non-digital</x:v>
      </x:c>
      <x:c r="D18" s="11" t="str">
        <x:v>Physical external cause</x:v>
      </x:c>
    </x:row>
    <x:row r="19">
      <x:c r="A19" s="11" t="str">
        <x:v>weather</x:v>
      </x:c>
      <x:c r="B19" s="11" t="str">
        <x:v>Weather causal/contributory</x:v>
      </x:c>
      <x:c r="C19" s="11" t="str">
        <x:v>non-digital</x:v>
      </x:c>
      <x:c r="D19" s="11" t="str">
        <x:v>Only when source establishes contribution</x:v>
      </x:c>
    </x:row>
    <x:row r="20">
      <x:c r="A20" s="11" t="str">
        <x:v>human_factors</x:v>
      </x:c>
      <x:c r="B20" s="11" t="str">
        <x:v>Crew/controller/human-performance contribution</x:v>
      </x:c>
      <x:c r="C20" s="11" t="str">
        <x:v>non-digital</x:v>
      </x:c>
      <x:c r="D20" s="11" t="str">
        <x:v>Only when established; no speculation</x:v>
      </x:c>
    </x:row>
    <x:row r="21">
      <x:c r="A21" s="11" t="str">
        <x:v>collision</x:v>
      </x:c>
      <x:c r="B21" s="11" t="str">
        <x:v>Aircraft-aircraft/object collision</x:v>
      </x:c>
      <x:c r="C21" s="11" t="str">
        <x:v>non-digital mechanism</x:v>
      </x:c>
      <x:c r="D21" s="11" t="str">
        <x:v>Underlying cause may remain unresolved</x:v>
      </x:c>
    </x:row>
    <x:row r="22">
      <x:c r="A22" s="11" t="str">
        <x:v>friendly_fire</x:v>
      </x:c>
      <x:c r="B22" s="11" t="str">
        <x:v>Friendly kinetic action</x:v>
      </x:c>
      <x:c r="C22" s="11" t="str">
        <x:v>direct military</x:v>
      </x:c>
      <x:c r="D22" s="11" t="str">
        <x:v>Separate from non-hostile accident count</x:v>
      </x:c>
    </x:row>
    <x:row r="23">
      <x:c r="A23" s="11" t="str">
        <x:v>hostile_fire</x:v>
      </x:c>
      <x:c r="B23" s="11" t="str">
        <x:v>Enemy kinetic action</x:v>
      </x:c>
      <x:c r="C23" s="11" t="str">
        <x:v>direct military</x:v>
      </x:c>
      <x:c r="D23" s="11" t="str">
        <x:v>Separate from non-hostile accident count</x:v>
      </x:c>
    </x:row>
    <x:row r="24">
      <x:c r="A24" s="11" t="str">
        <x:v>security_threat</x:v>
      </x:c>
      <x:c r="B24" s="11" t="str">
        <x:v>Threat assessment changes aviation operation</x:v>
      </x:c>
      <x:c r="C24" s="11" t="str">
        <x:v>security environment</x:v>
      </x:c>
      <x:c r="D24" s="11" t="str">
        <x:v>VIP/protective stream</x:v>
      </x:c>
    </x:row>
    <x:row r="25">
      <x:c r="A25" s="11" t="str">
        <x:v>unknown_investigation</x:v>
      </x:c>
      <x:c r="B25" s="11" t="str">
        <x:v>Investigation ongoing/no cause yet published</x:v>
      </x:c>
      <x:c r="C25" s="11" t="str">
        <x:v>unknown</x:v>
      </x:c>
      <x:c r="D25" s="11" t="str">
        <x:v>Not evidence of digital involvement</x:v>
      </x:c>
    </x:row>
    <x:row r="26">
      <x:c r="A26" s="11" t="str">
        <x:v>unknown_no_public_explanation</x:v>
      </x:c>
      <x:c r="B26" s="11" t="str">
        <x:v>No adequate public causal account found</x:v>
      </x:c>
      <x:c r="C26" s="11" t="str">
        <x:v>unknown</x:v>
      </x:c>
      <x:c r="D26" s="11" t="str">
        <x:v>Use only after reasonable source search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4" hidden="0" customWidth="1"/>
    <x:col min="4" max="4" width="27" hidden="0" customWidth="1"/>
    <x:col min="5" max="5" width="28" hidden="0" customWidth="1"/>
    <x:col min="6" max="6" width="34" hidden="0" customWidth="1"/>
    <x:col min="7" max="7" width="26" hidden="0" customWidth="1"/>
    <x:col min="8" max="8" width="28" hidden="0" customWidth="1"/>
    <x:col min="9" max="9" width="48" hidden="0" customWidth="1"/>
    <x:col min="10" max="10" width="23" hidden="0" customWidth="1"/>
    <x:col min="11" max="11" width="26" hidden="0" customWidth="1"/>
    <x:col min="12" max="12" width="28" hidden="0" customWidth="1"/>
    <x:col min="13" max="13" width="16" hidden="0" customWidth="1"/>
    <x:col min="14" max="14" width="27" hidden="0" customWidth="1"/>
    <x:col min="15" max="15" width="28" hidden="0" customWidth="1"/>
    <x:col min="16" max="16" width="48" hidden="0" customWidth="1"/>
    <x:col min="17" max="17" width="52" hidden="0" customWidth="1"/>
    <x:col min="18" max="18" width="42" hidden="0" customWidth="1"/>
  </x:cols>
  <x:sheetData>
    <x:row r="1">
      <x:c r="A1" s="25" t="str">
        <x:v>Date</x:v>
      </x:c>
      <x:c r="B1" s="25" t="str">
        <x:v>Period</x:v>
      </x:c>
      <x:c r="C1" s="25" t="str">
        <x:v>Country/region</x:v>
      </x:c>
      <x:c r="D1" s="25" t="str">
        <x:v>Stream</x:v>
      </x:c>
      <x:c r="E1" s="25" t="str">
        <x:v>Operator/system</x:v>
      </x:c>
      <x:c r="F1" s="25" t="str">
        <x:v>Event</x:v>
      </x:c>
      <x:c r="G1" s="25" t="str">
        <x:v>Proximate cause</x:v>
      </x:c>
      <x:c r="H1" s="25" t="str">
        <x:v>Secondary/resilience cause</x:v>
      </x:c>
      <x:c r="I1" s="25" t="str">
        <x:v>Mechanism/detail</x:v>
      </x:c>
      <x:c r="J1" s="25" t="str">
        <x:v>Cause confidence</x:v>
      </x:c>
      <x:c r="K1" s="25" t="str">
        <x:v>Digital relevance</x:v>
      </x:c>
      <x:c r="L1" s="25" t="str">
        <x:v>War/EW relevance</x:v>
      </x:c>
      <x:c r="M1" s="25" t="str">
        <x:v>Hostile action</x:v>
      </x:c>
      <x:c r="N1" s="25" t="str">
        <x:v>Public explanation status</x:v>
      </x:c>
      <x:c r="O1" s="25" t="str">
        <x:v>Impact/severity</x:v>
      </x:c>
      <x:c r="P1" s="25" t="str">
        <x:v>Why this row matters</x:v>
      </x:c>
      <x:c r="Q1" s="25" t="str">
        <x:v>Primary source URL</x:v>
      </x:c>
      <x:c r="R1" s="25" t="str">
        <x:v>Notes / next check</x:v>
      </x:c>
    </x:row>
    <x:row r="2">
      <x:c r="A2" s="11" t="str">
        <x:v>2016-01-18</x:v>
      </x:c>
      <x:c r="B2" s="11" t="str">
        <x:v>Pre-COVID baseline</x:v>
      </x:c>
      <x:c r="C2" s="11" t="str">
        <x:v>Germany</x:v>
      </x:c>
      <x:c r="D2" s="11" t="str">
        <x:v>civil ATM/infrastructure</x:v>
      </x:c>
      <x:c r="E2" s="11" t="str">
        <x:v>Frankfurt/Main</x:v>
      </x:c>
      <x:c r="F2" s="11" t="str">
        <x:v>VOR unserviceability</x:v>
      </x:c>
      <x:c r="G2" s="11" t="str">
        <x:v>hardware_failure</x:v>
      </x:c>
      <x:c r="H2" s="11" t="str"/>
      <x:c r="I2" s="11" t="str">
        <x:v>VOR/navigation aid unavailable</x:v>
      </x:c>
      <x:c r="J2" s="11" t="str">
        <x:v>official reported</x:v>
      </x:c>
      <x:c r="K2" s="11" t="str">
        <x:v>information-system relevant</x:v>
      </x:c>
      <x:c r="L2" s="11" t="str">
        <x:v>none demonstrated</x:v>
      </x:c>
      <x:c r="M2" s="11" t="str">
        <x:v>no</x:v>
      </x:c>
      <x:c r="N2" s="11" t="str">
        <x:v>explained at system level</x:v>
      </x:c>
      <x:c r="O2" s="11" t="str">
        <x:v>2,452 ATFM delay min</x:v>
      </x:c>
      <x:c r="P2" s="11" t="str">
        <x:v>Historical navigation-system failure comparator</x:v>
      </x:c>
      <x:c r="Q2" s="11" t="str">
        <x:v>https://www.eurocontrol.int/sites/default/files/publication/files/nm-annual-network-operations-report-2016-main-report.pdf</x:v>
      </x:c>
      <x:c r="R2" s="11" t="str">
        <x:v>Underlying component root cause not extracted yet</x:v>
      </x:c>
    </x:row>
    <x:row r="3">
      <x:c r="A3" s="11" t="str">
        <x:v>2016-01-21</x:v>
      </x:c>
      <x:c r="B3" s="11" t="str">
        <x:v>Pre-COVID baseline</x:v>
      </x:c>
      <x:c r="C3" s="11" t="str">
        <x:v>Türkiye</x:v>
      </x:c>
      <x:c r="D3" s="11" t="str">
        <x:v>civil ATM/infrastructure</x:v>
      </x:c>
      <x:c r="E3" s="11" t="str">
        <x:v>Istanbul airports</x:v>
      </x:c>
      <x:c r="F3" s="11" t="str">
        <x:v>Radar and frequency problems</x:v>
      </x:c>
      <x:c r="G3" s="11" t="str">
        <x:v>surveillance_failure</x:v>
      </x:c>
      <x:c r="H3" s="11" t="str">
        <x:v>comms_failure</x:v>
      </x:c>
      <x:c r="I3" s="11" t="str">
        <x:v>Radar plus frequency problems</x:v>
      </x:c>
      <x:c r="J3" s="11" t="str">
        <x:v>official reported</x:v>
      </x:c>
      <x:c r="K3" s="11" t="str">
        <x:v>information-system relevant</x:v>
      </x:c>
      <x:c r="L3" s="11" t="str">
        <x:v>none demonstrated</x:v>
      </x:c>
      <x:c r="M3" s="11" t="str">
        <x:v>no</x:v>
      </x:c>
      <x:c r="N3" s="11" t="str">
        <x:v>explained at system level</x:v>
      </x:c>
      <x:c r="O3" s="11" t="str">
        <x:v>12,656 ATFM delay min</x:v>
      </x:c>
      <x:c r="P3" s="11" t="str">
        <x:v>Large pre-war surveillance/comms comparator</x:v>
      </x:c>
      <x:c r="Q3" s="11" t="str">
        <x:v>https://www.eurocontrol.int/sites/default/files/publication/files/nm-annual-network-operations-report-2016-main-report.pdf</x:v>
      </x:c>
      <x:c r="R3" s="11" t="str"/>
    </x:row>
    <x:row r="4">
      <x:c r="A4" s="11" t="str">
        <x:v>2016-02-04</x:v>
      </x:c>
      <x:c r="B4" s="11" t="str">
        <x:v>Pre-COVID baseline</x:v>
      </x:c>
      <x:c r="C4" s="11" t="str">
        <x:v>Germany</x:v>
      </x:c>
      <x:c r="D4" s="11" t="str">
        <x:v>civil ATM/infrastructure</x:v>
      </x:c>
      <x:c r="E4" s="11" t="str">
        <x:v>Frankfurt/Main</x:v>
      </x:c>
      <x:c r="F4" s="11" t="str">
        <x:v>ILS unserviceability</x:v>
      </x:c>
      <x:c r="G4" s="11" t="str">
        <x:v>hardware_failure</x:v>
      </x:c>
      <x:c r="H4" s="11" t="str"/>
      <x:c r="I4" s="11" t="str">
        <x:v>Instrument landing system unavailable</x:v>
      </x:c>
      <x:c r="J4" s="11" t="str">
        <x:v>official reported</x:v>
      </x:c>
      <x:c r="K4" s="11" t="str">
        <x:v>information-system relevant</x:v>
      </x:c>
      <x:c r="L4" s="11" t="str">
        <x:v>none demonstrated</x:v>
      </x:c>
      <x:c r="M4" s="11" t="str">
        <x:v>no</x:v>
      </x:c>
      <x:c r="N4" s="11" t="str">
        <x:v>explained at system level</x:v>
      </x:c>
      <x:c r="O4" s="11" t="str">
        <x:v>1,295 ATFM delay min</x:v>
      </x:c>
      <x:c r="P4" s="11" t="str">
        <x:v>Historical landing/navigation failure comparator</x:v>
      </x:c>
      <x:c r="Q4" s="11" t="str">
        <x:v>https://www.eurocontrol.int/sites/default/files/publication/files/nm-annual-network-operations-report-2016-main-report.pdf</x:v>
      </x:c>
      <x:c r="R4" s="11" t="str"/>
    </x:row>
    <x:row r="5">
      <x:c r="A5" s="11" t="str">
        <x:v>2016-02-20</x:v>
      </x:c>
      <x:c r="B5" s="11" t="str">
        <x:v>Pre-COVID baseline</x:v>
      </x:c>
      <x:c r="C5" s="11" t="str">
        <x:v>Switzerland</x:v>
      </x:c>
      <x:c r="D5" s="11" t="str">
        <x:v>civil ATM/infrastructure</x:v>
      </x:c>
      <x:c r="E5" s="11" t="str">
        <x:v>Zurich</x:v>
      </x:c>
      <x:c r="F5" s="11" t="str">
        <x:v>Radio-navigation / direction-finder problems</x:v>
      </x:c>
      <x:c r="G5" s="11" t="str">
        <x:v>hardware_failure</x:v>
      </x:c>
      <x:c r="H5" s="11" t="str"/>
      <x:c r="I5" s="11" t="str">
        <x:v>Radio-navigation equipment problem</x:v>
      </x:c>
      <x:c r="J5" s="11" t="str">
        <x:v>official reported</x:v>
      </x:c>
      <x:c r="K5" s="11" t="str">
        <x:v>information-system relevant</x:v>
      </x:c>
      <x:c r="L5" s="11" t="str">
        <x:v>none demonstrated</x:v>
      </x:c>
      <x:c r="M5" s="11" t="str">
        <x:v>no</x:v>
      </x:c>
      <x:c r="N5" s="11" t="str">
        <x:v>explained at system level</x:v>
      </x:c>
      <x:c r="O5" s="11" t="str">
        <x:v>1,024 ATFM delay min</x:v>
      </x:c>
      <x:c r="P5" s="11" t="str">
        <x:v>Historical radio-navigation comparator</x:v>
      </x:c>
      <x:c r="Q5" s="11" t="str">
        <x:v>https://www.eurocontrol.int/sites/default/files/publication/files/nm-annual-network-operations-report-2016-main-report.pdf</x:v>
      </x:c>
      <x:c r="R5" s="11" t="str"/>
    </x:row>
    <x:row r="6">
      <x:c r="A6" s="11" t="str">
        <x:v>2018-04-03</x:v>
      </x:c>
      <x:c r="B6" s="11" t="str">
        <x:v>Pre-COVID baseline</x:v>
      </x:c>
      <x:c r="C6" s="11" t="str">
        <x:v>EUROCONTROL area</x:v>
      </x:c>
      <x:c r="D6" s="11" t="str">
        <x:v>civil ATM/infrastructure</x:v>
      </x:c>
      <x:c r="E6" s="11" t="str">
        <x:v>Network Manager</x:v>
      </x:c>
      <x:c r="F6" s="11" t="str">
        <x:v>Central technical-system outage</x:v>
      </x:c>
      <x:c r="G6" s="11" t="str">
        <x:v>hardware_failure</x:v>
      </x:c>
      <x:c r="H6" s="11" t="str"/>
      <x:c r="I6" s="11" t="str">
        <x:v>NM technical system unavailable; contingency capacity reductions</x:v>
      </x:c>
      <x:c r="J6" s="11" t="str">
        <x:v>official reported</x:v>
      </x:c>
      <x:c r="K6" s="11" t="str">
        <x:v>information-system relevant</x:v>
      </x:c>
      <x:c r="L6" s="11" t="str">
        <x:v>none demonstrated</x:v>
      </x:c>
      <x:c r="M6" s="11" t="str">
        <x:v>no</x:v>
      </x:c>
      <x:c r="N6" s="11" t="str">
        <x:v>explained at system level</x:v>
      </x:c>
      <x:c r="O6" s="11" t="str">
        <x:v>Network-wide contingency measures</x:v>
      </x:c>
      <x:c r="P6" s="11" t="str">
        <x:v>Major pre-2026 central-system outage comparator</x:v>
      </x:c>
      <x:c r="Q6" s="11" t="str">
        <x:v>https://www.eurocontrol.int/publication/annual-network-operations-report-2018</x:v>
      </x:c>
      <x:c r="R6" s="11" t="str">
        <x:v>Need deeper report extraction for exact root cause</x:v>
      </x:c>
    </x:row>
    <x:row r="7">
      <x:c r="A7" s="11" t="str">
        <x:v>2024-07-19</x:v>
      </x:c>
      <x:c r="B7" s="11" t="str">
        <x:v>Post-COVID / Ukraine-war baseline</x:v>
      </x:c>
      <x:c r="C7" s="11" t="str">
        <x:v>Europe/US</x:v>
      </x:c>
      <x:c r="D7" s="11" t="str">
        <x:v>civil airline/airport IT</x:v>
      </x:c>
      <x:c r="E7" s="11" t="str">
        <x:v>Multiple carriers/airports</x:v>
      </x:c>
      <x:c r="F7" s="11" t="str">
        <x:v>CrowdStrike/Microsoft-related disruption</x:v>
      </x:c>
      <x:c r="G7" s="11" t="str">
        <x:v>software_failure</x:v>
      </x:c>
      <x:c r="H7" s="11" t="str"/>
      <x:c r="I7" s="11" t="str">
        <x:v>Cloud-based systems used by carriers affected; passenger booking/check-in impacted</x:v>
      </x:c>
      <x:c r="J7" s="11" t="str">
        <x:v>confirmed external technical event</x:v>
      </x:c>
      <x:c r="K7" s="11" t="str">
        <x:v>confirmed causal</x:v>
      </x:c>
      <x:c r="L7" s="11" t="str">
        <x:v>none demonstrated</x:v>
      </x:c>
      <x:c r="M7" s="11" t="str">
        <x:v>no</x:v>
      </x:c>
      <x:c r="N7" s="11" t="str">
        <x:v>explained</x:v>
      </x:c>
      <x:c r="O7" s="11" t="str">
        <x:v>Widespread carrier/airport disruption</x:v>
      </x:c>
      <x:c r="P7" s="11" t="str">
        <x:v>Excellent non-war-period mass digital-failure comparator</x:v>
      </x:c>
      <x:c r="Q7" s="11" t="str">
        <x:v>https://www.eurocontrol.int/sites/default/files/2025-05/eurocontrol-annual-network-operations-report-2024.pdf</x:v>
      </x:c>
      <x:c r="R7" s="11" t="str">
        <x:v>Do not treat as ATM failure; airline/airport IT layer</x:v>
      </x:c>
    </x:row>
    <x:row r="8">
      <x:c r="A8" s="11" t="str">
        <x:v>2026-03-25</x:v>
      </x:c>
      <x:c r="B8" s="11" t="str">
        <x:v>Iran-war observation</x:v>
      </x:c>
      <x:c r="C8" s="11" t="str">
        <x:v>Europe</x:v>
      </x:c>
      <x:c r="D8" s="11" t="str">
        <x:v>GNSS/EW environment</x:v>
      </x:c>
      <x:c r="E8" s="11" t="str">
        <x:v>EASA/EUROCONTROL</x:v>
      </x:c>
      <x:c r="F8" s="11" t="str">
        <x:v>Joint GNSS interference action plan</x:v>
      </x:c>
      <x:c r="G8" s="11" t="str">
        <x:v>gnss_jamming</x:v>
      </x:c>
      <x:c r="H8" s="11" t="str"/>
      <x:c r="I8" s="11" t="str">
        <x:v>Interference regular near conflict zones; safety/resilience threat</x:v>
      </x:c>
      <x:c r="J8" s="11" t="str">
        <x:v>official assessment</x:v>
      </x:c>
      <x:c r="K8" s="11" t="str">
        <x:v>confirmed environmental</x:v>
      </x:c>
      <x:c r="L8" s="11" t="str">
        <x:v>documented wartime EW environment</x:v>
      </x:c>
      <x:c r="M8" s="11" t="str">
        <x:v>not an accident</x:v>
      </x:c>
      <x:c r="N8" s="11" t="str">
        <x:v>publicly acknowledged threat</x:v>
      </x:c>
      <x:c r="O8" s="11" t="str">
        <x:v>European action plan launched</x:v>
      </x:c>
      <x:c r="P8" s="11" t="str">
        <x:v>Marks official recognition of wartime PNT threat</x:v>
      </x:c>
      <x:c r="Q8" s="11" t="str">
        <x:v>https://www.easa.europa.eu/en/newsroom-and-events/press-releases/easa-and-eurocontrol-publish-joint-action-plan-ensure-safe</x:v>
      </x:c>
      <x:c r="R8" s="11" t="str">
        <x:v>Environmental row, not causal attribution to a crash</x:v>
      </x:c>
    </x:row>
    <x:row r="9">
      <x:c r="A9" s="11" t="str">
        <x:v>2026-07-03</x:v>
      </x:c>
      <x:c r="B9" s="11" t="str">
        <x:v>Iran-war observation</x:v>
      </x:c>
      <x:c r="C9" s="11" t="str">
        <x:v>Europe/neighbouring airspace</x:v>
      </x:c>
      <x:c r="D9" s="11" t="str">
        <x:v>GNSS/EW environment</x:v>
      </x:c>
      <x:c r="E9" s="11" t="str">
        <x:v>EASA</x:v>
      </x:c>
      <x:c r="F9" s="11" t="str">
        <x:v>GNSS SIB Revision 4</x:v>
      </x:c>
      <x:c r="G9" s="11" t="str">
        <x:v>gnss_jamming</x:v>
      </x:c>
      <x:c r="H9" s="11" t="str">
        <x:v>gnss_spoofing</x:v>
      </x:c>
      <x:c r="I9" s="11" t="str">
        <x:v>Recent jamming/spoofing occurrences prompted new mitigations</x:v>
      </x:c>
      <x:c r="J9" s="11" t="str">
        <x:v>official assessment</x:v>
      </x:c>
      <x:c r="K9" s="11" t="str">
        <x:v>confirmed environmental</x:v>
      </x:c>
      <x:c r="L9" s="11" t="str">
        <x:v>documented wartime/conflict-zone relevance</x:v>
      </x:c>
      <x:c r="M9" s="11" t="str">
        <x:v>not an accident</x:v>
      </x:c>
      <x:c r="N9" s="11" t="str">
        <x:v>publicly acknowledged threat</x:v>
      </x:c>
      <x:c r="O9" s="11" t="str">
        <x:v>Operational/training/ATC mitigations</x:v>
      </x:c>
      <x:c r="P9" s="11" t="str">
        <x:v>Shows interference severity/sophistication is independently documented</x:v>
      </x:c>
      <x:c r="Q9" s="11" t="str">
        <x:v>https://www.easa.europa.eu/en/newsroom-and-events/news/easa-updates-safety-information-bulletin-gnss-interference</x:v>
      </x:c>
      <x:c r="R9" s="11" t="str"/>
    </x:row>
    <x:row r="10">
      <x:c r="A10" s="11" t="str">
        <x:v>2026-09-17</x:v>
      </x:c>
      <x:c r="B10" s="11" t="str">
        <x:v>Iran-war observation</x:v>
      </x:c>
      <x:c r="C10" s="11" t="str">
        <x:v>NATO/European FIRs</x:v>
      </x:c>
      <x:c r="D10" s="11" t="str">
        <x:v>GNSS/EW environment</x:v>
      </x:c>
      <x:c r="E10" s="11" t="str">
        <x:v>EASA monitoring</x:v>
      </x:c>
      <x:c r="F10" s="11" t="str">
        <x:v>Multiple FIRs affected by GNSS interference</x:v>
      </x:c>
      <x:c r="G10" s="11" t="str">
        <x:v>gnss_jamming</x:v>
      </x:c>
      <x:c r="H10" s="11" t="str">
        <x:v>gnss_spoofing</x:v>
      </x:c>
      <x:c r="I10" s="11" t="str">
        <x:v>Affected FIR list includes Ankara, Istanbul, Bucharest, Sofia, Warsaw, Tallinn, Helsinki, Riga, Vilnius</x:v>
      </x:c>
      <x:c r="J10" s="11" t="str">
        <x:v>official monitoring</x:v>
      </x:c>
      <x:c r="K10" s="11" t="str">
        <x:v>confirmed environmental</x:v>
      </x:c>
      <x:c r="L10" s="11" t="str">
        <x:v>documented conflict-zone-linked interference</x:v>
      </x:c>
      <x:c r="M10" s="11" t="str">
        <x:v>not an accident</x:v>
      </x:c>
      <x:c r="N10" s="11" t="str">
        <x:v>publicly acknowledged threat</x:v>
      </x:c>
      <x:c r="O10" s="11" t="str">
        <x:v>Multi-country information environment</x:v>
      </x:c>
      <x:c r="P10" s="11" t="str">
        <x:v>Provides geographic overlap without proving incident causation</x:v>
      </x:c>
      <x:c r="Q10" s="11" t="str">
        <x:v>https://www.easa.europa.eu/en/domains/air-operations/global-navigation-satellite-system-outages-and-alterations</x:v>
      </x:c>
      <x:c r="R10" s="11" t="str">
        <x:v>Snapshot dated 17 Sep 2026</x:v>
      </x:c>
    </x:row>
    <x:row r="11">
      <x:c r="A11" t="str">
        <x:v>2023-06-03</x:v>
      </x:c>
      <x:c r="B11" t="str">
        <x:v>Post-COVID / Ukraine-war baseline</x:v>
      </x:c>
      <x:c r="C11" t="str">
        <x:v>Germany</x:v>
      </x:c>
      <x:c r="D11" t="str">
        <x:v>civil ATM/infrastructure</x:v>
      </x:c>
      <x:c r="E11" t="str">
        <x:v>München ACC</x:v>
      </x:c>
      <x:c r="F11" t="str">
        <x:v>ICAS2 ATM-system transition</x:v>
      </x:c>
      <x:c r="G11" t="str">
        <x:v>flight_data_processing</x:v>
      </x:c>
      <x:c r="H11" t="str"/>
      <x:c r="I11" t="str">
        <x:v>Transition to new ATM system ICAS2</x:v>
      </x:c>
      <x:c r="J11" t="str">
        <x:v>official reported</x:v>
      </x:c>
      <x:c r="K11" t="str">
        <x:v>information-system relevant</x:v>
      </x:c>
      <x:c r="L11" t="str">
        <x:v>none demonstrated</x:v>
      </x:c>
      <x:c r="M11" t="str">
        <x:v>no</x:v>
      </x:c>
      <x:c r="N11" t="str">
        <x:v>explained at system level</x:v>
      </x:c>
      <x:c r="O11" t="str">
        <x:v>111,766 ATFM delay min</x:v>
      </x:c>
      <x:c r="P11" t="str">
        <x:v>Large software/system-change comparator</x:v>
      </x:c>
      <x:c r="Q11" t="str">
        <x:v>https://www.eurocontrol.int/sites/default/files/2023-07/eurocontrol-nm-monthly-network-operations-report-june-2023.pdf</x:v>
      </x:c>
      <x:c r="R11" t="str">
        <x:v>Not necessarily a fault: retained as system-transition disruption</x:v>
      </x:c>
    </x:row>
    <x:row r="12">
      <x:c r="A12" t="str">
        <x:v>2023-06-01</x:v>
      </x:c>
      <x:c r="B12" t="str">
        <x:v>Post-COVID / Ukraine-war baseline</x:v>
      </x:c>
      <x:c r="C12" t="str">
        <x:v>France</x:v>
      </x:c>
      <x:c r="D12" t="str">
        <x:v>civil ATM/infrastructure</x:v>
      </x:c>
      <x:c r="E12" t="str">
        <x:v>Paris ACC</x:v>
      </x:c>
      <x:c r="F12" t="str">
        <x:v>New FDPS implementation</x:v>
      </x:c>
      <x:c r="G12" t="str">
        <x:v>flight_data_processing</x:v>
      </x:c>
      <x:c r="H12" t="str"/>
      <x:c r="I12" t="str">
        <x:v>Implementation of new flight-data-processing system</x:v>
      </x:c>
      <x:c r="J12" t="str">
        <x:v>official reported</x:v>
      </x:c>
      <x:c r="K12" t="str">
        <x:v>information-system relevant</x:v>
      </x:c>
      <x:c r="L12" t="str">
        <x:v>none demonstrated</x:v>
      </x:c>
      <x:c r="M12" t="str">
        <x:v>no</x:v>
      </x:c>
      <x:c r="N12" t="str">
        <x:v>explained at system level</x:v>
      </x:c>
      <x:c r="O12" t="str">
        <x:v>19,986 ATFM delay min during month</x:v>
      </x:c>
      <x:c r="P12" t="str">
        <x:v>Shows major disruption can arise from planned digital-system change</x:v>
      </x:c>
      <x:c r="Q12" t="str">
        <x:v>https://www.eurocontrol.int/sites/default/files/2023-07/eurocontrol-nm-monthly-network-operations-report-june-2023.pdf</x:v>
      </x:c>
      <x:c r="R12" t="str">
        <x:v>Date coded to month start because report gives monthly total</x:v>
      </x:c>
    </x:row>
    <x:row r="13">
      <x:c r="A13" t="str">
        <x:v>2023-06-03</x:v>
      </x:c>
      <x:c r="B13" t="str">
        <x:v>Post-COVID / Ukraine-war baseline</x:v>
      </x:c>
      <x:c r="C13" t="str">
        <x:v>Greece</x:v>
      </x:c>
      <x:c r="D13" t="str">
        <x:v>civil ATM/infrastructure</x:v>
      </x:c>
      <x:c r="E13" t="str">
        <x:v>Athens ACC</x:v>
      </x:c>
      <x:c r="F13" t="str">
        <x:v>Radar issues</x:v>
      </x:c>
      <x:c r="G13" t="str">
        <x:v>surveillance_failure</x:v>
      </x:c>
      <x:c r="H13" t="str"/>
      <x:c r="I13" t="str">
        <x:v>Radar issues on 3 and 11 June</x:v>
      </x:c>
      <x:c r="J13" t="str">
        <x:v>official reported</x:v>
      </x:c>
      <x:c r="K13" t="str">
        <x:v>information-system relevant</x:v>
      </x:c>
      <x:c r="L13" t="str">
        <x:v>none demonstrated</x:v>
      </x:c>
      <x:c r="M13" t="str">
        <x:v>no</x:v>
      </x:c>
      <x:c r="N13" t="str">
        <x:v>explained at system level</x:v>
      </x:c>
      <x:c r="O13" t="str">
        <x:v>4,496 ATFM delay min</x:v>
      </x:c>
      <x:c r="P13" t="str">
        <x:v>Direct surveillance-system comparator</x:v>
      </x:c>
      <x:c r="Q13" t="str">
        <x:v>https://www.eurocontrol.int/sites/default/files/2023-07/eurocontrol-nm-monthly-network-operations-report-june-2023.pdf</x:v>
      </x:c>
      <x:c r="R13" t="str"/>
    </x:row>
    <x:row r="14">
      <x:c r="A14" t="str">
        <x:v>2023-06-14</x:v>
      </x:c>
      <x:c r="B14" t="str">
        <x:v>Post-COVID / Ukraine-war baseline</x:v>
      </x:c>
      <x:c r="C14" t="str">
        <x:v>United Kingdom</x:v>
      </x:c>
      <x:c r="D14" t="str">
        <x:v>civil ATM/infrastructure</x:v>
      </x:c>
      <x:c r="E14" t="str">
        <x:v>London ACC</x:v>
      </x:c>
      <x:c r="F14" t="str">
        <x:v>Computer system failure</x:v>
      </x:c>
      <x:c r="G14" t="str">
        <x:v>hardware_failure</x:v>
      </x:c>
      <x:c r="H14" t="str"/>
      <x:c r="I14" t="str">
        <x:v>Computer system failure</x:v>
      </x:c>
      <x:c r="J14" t="str">
        <x:v>official reported</x:v>
      </x:c>
      <x:c r="K14" t="str">
        <x:v>information-system relevant</x:v>
      </x:c>
      <x:c r="L14" t="str">
        <x:v>none demonstrated</x:v>
      </x:c>
      <x:c r="M14" t="str">
        <x:v>no</x:v>
      </x:c>
      <x:c r="N14" t="str">
        <x:v>explained at system level</x:v>
      </x:c>
      <x:c r="O14" t="str">
        <x:v>12,450 ATFM delay min</x:v>
      </x:c>
      <x:c r="P14" t="str">
        <x:v>Very useful pre-2026 UK digital-system comparator</x:v>
      </x:c>
      <x:c r="Q14" t="str">
        <x:v>https://www.eurocontrol.int/sites/default/files/2023-07/eurocontrol-nm-monthly-network-operations-report-june-2023.pdf</x:v>
      </x:c>
      <x:c r="R14" t="str">
        <x:v>Root component not specified in monthly report</x:v>
      </x:c>
    </x:row>
    <x:row r="15">
      <x:c r="A15" t="str">
        <x:v>2023-06-15</x:v>
      </x:c>
      <x:c r="B15" t="str">
        <x:v>Post-COVID / Ukraine-war baseline</x:v>
      </x:c>
      <x:c r="C15" t="str">
        <x:v>Spain</x:v>
      </x:c>
      <x:c r="D15" t="str">
        <x:v>civil ATM/infrastructure</x:v>
      </x:c>
      <x:c r="E15" t="str">
        <x:v>Palma de Mallorca</x:v>
      </x:c>
      <x:c r="F15" t="str">
        <x:v>ATC equipment issues</x:v>
      </x:c>
      <x:c r="G15" t="str">
        <x:v>hardware_failure</x:v>
      </x:c>
      <x:c r="H15" t="str"/>
      <x:c r="I15" t="str">
        <x:v>ATC equipment issues on 15 and 30 June</x:v>
      </x:c>
      <x:c r="J15" t="str">
        <x:v>official reported</x:v>
      </x:c>
      <x:c r="K15" t="str">
        <x:v>information-system relevant</x:v>
      </x:c>
      <x:c r="L15" t="str">
        <x:v>none demonstrated</x:v>
      </x:c>
      <x:c r="M15" t="str">
        <x:v>no</x:v>
      </x:c>
      <x:c r="N15" t="str">
        <x:v>explained at system level</x:v>
      </x:c>
      <x:c r="O15" t="str">
        <x:v>1,596 ATFM delay min</x:v>
      </x:c>
      <x:c r="P15" t="str">
        <x:v>Airport ATC-equipment comparator</x:v>
      </x:c>
      <x:c r="Q15" t="str">
        <x:v>https://www.eurocontrol.int/sites/default/files/2023-07/eurocontrol-nm-monthly-network-operations-report-june-2023.pdf</x:v>
      </x:c>
      <x:c r="R15" t="str"/>
    </x:row>
    <x:row r="16">
      <x:c r="A16" t="str">
        <x:v>2023-06-24</x:v>
      </x:c>
      <x:c r="B16" t="str">
        <x:v>Post-COVID / Ukraine-war baseline</x:v>
      </x:c>
      <x:c r="C16" t="str">
        <x:v>France</x:v>
      </x:c>
      <x:c r="D16" t="str">
        <x:v>civil ATM/infrastructure</x:v>
      </x:c>
      <x:c r="E16" t="str">
        <x:v>Reims ACC</x:v>
      </x:c>
      <x:c r="F16" t="str">
        <x:v>IT services failure</x:v>
      </x:c>
      <x:c r="G16" t="str">
        <x:v>network_connectivity</x:v>
      </x:c>
      <x:c r="H16" t="str"/>
      <x:c r="I16" t="str">
        <x:v>IT services failure</x:v>
      </x:c>
      <x:c r="J16" t="str">
        <x:v>official reported</x:v>
      </x:c>
      <x:c r="K16" t="str">
        <x:v>confirmed causal</x:v>
      </x:c>
      <x:c r="L16" t="str">
        <x:v>none demonstrated</x:v>
      </x:c>
      <x:c r="M16" t="str">
        <x:v>no</x:v>
      </x:c>
      <x:c r="N16" t="str">
        <x:v>explained at system level</x:v>
      </x:c>
      <x:c r="O16" t="str">
        <x:v>3,631 ATFM delay min</x:v>
      </x:c>
      <x:c r="P16" t="str">
        <x:v>Explicit IT-services failure comparator</x:v>
      </x:c>
      <x:c r="Q16" t="str">
        <x:v>https://www.eurocontrol.int/sites/default/files/2023-07/eurocontrol-nm-monthly-network-operations-report-june-2023.pdf</x:v>
      </x:c>
      <x:c r="R16" t="str"/>
    </x:row>
    <x:row r="17">
      <x:c r="A17" t="str">
        <x:v>2023-06-30</x:v>
      </x:c>
      <x:c r="B17" t="str">
        <x:v>Post-COVID / Ukraine-war baseline</x:v>
      </x:c>
      <x:c r="C17" t="str">
        <x:v>Spain</x:v>
      </x:c>
      <x:c r="D17" t="str">
        <x:v>civil ATM/infrastructure</x:v>
      </x:c>
      <x:c r="E17" t="str">
        <x:v>Barcelona ACC</x:v>
      </x:c>
      <x:c r="F17" t="str">
        <x:v>FDPS failure</x:v>
      </x:c>
      <x:c r="G17" t="str">
        <x:v>flight_data_processing</x:v>
      </x:c>
      <x:c r="H17" t="str"/>
      <x:c r="I17" t="str">
        <x:v>Flight-data-processing-system failure</x:v>
      </x:c>
      <x:c r="J17" t="str">
        <x:v>official reported</x:v>
      </x:c>
      <x:c r="K17" t="str">
        <x:v>confirmed causal</x:v>
      </x:c>
      <x:c r="L17" t="str">
        <x:v>none demonstrated</x:v>
      </x:c>
      <x:c r="M17" t="str">
        <x:v>no</x:v>
      </x:c>
      <x:c r="N17" t="str">
        <x:v>explained at system level</x:v>
      </x:c>
      <x:c r="O17" t="str">
        <x:v>6,909 ATFM delay min</x:v>
      </x:c>
      <x:c r="P17" t="str">
        <x:v>Explicit flight-data-processing failure comparator</x:v>
      </x:c>
      <x:c r="Q17" t="str">
        <x:v>https://www.eurocontrol.int/sites/default/files/2023-07/eurocontrol-nm-monthly-network-operations-report-june-2023.pdf</x:v>
      </x:c>
      <x:c r="R17" t="str"/>
    </x:row>
    <x:row r="18">
      <x:c r="A18" t="str">
        <x:v>2023-06-30</x:v>
      </x:c>
      <x:c r="B18" t="str">
        <x:v>Post-COVID / Ukraine-war baseline</x:v>
      </x:c>
      <x:c r="C18" t="str">
        <x:v>Spain</x:v>
      </x:c>
      <x:c r="D18" t="str">
        <x:v>civil ATM/infrastructure</x:v>
      </x:c>
      <x:c r="E18" t="str">
        <x:v>Ibiza airport</x:v>
      </x:c>
      <x:c r="F18" t="str">
        <x:v>ATC equipment failure</x:v>
      </x:c>
      <x:c r="G18" t="str">
        <x:v>hardware_failure</x:v>
      </x:c>
      <x:c r="H18" t="str"/>
      <x:c r="I18" t="str">
        <x:v>ATC equipment failure</x:v>
      </x:c>
      <x:c r="J18" t="str">
        <x:v>official reported</x:v>
      </x:c>
      <x:c r="K18" t="str">
        <x:v>information-system relevant</x:v>
      </x:c>
      <x:c r="L18" t="str">
        <x:v>none demonstrated</x:v>
      </x:c>
      <x:c r="M18" t="str">
        <x:v>no</x:v>
      </x:c>
      <x:c r="N18" t="str">
        <x:v>explained at system level</x:v>
      </x:c>
      <x:c r="O18" t="str">
        <x:v>2,278 ATFM delay min</x:v>
      </x:c>
      <x:c r="P18" t="str">
        <x:v>Airport equipment-failure comparator</x:v>
      </x:c>
      <x:c r="Q18" t="str">
        <x:v>https://www.eurocontrol.int/sites/default/files/2023-07/eurocontrol-nm-monthly-network-operations-report-june-2023.pdf</x:v>
      </x:c>
      <x:c r="R18" t="str"/>
    </x:row>
    <x:row r="19">
      <x:c r="A19" t="str">
        <x:v>2023-06-01</x:v>
      </x:c>
      <x:c r="B19" t="str">
        <x:v>Post-COVID / Ukraine-war baseline</x:v>
      </x:c>
      <x:c r="C19" t="str">
        <x:v>Greece</x:v>
      </x:c>
      <x:c r="D19" t="str">
        <x:v>civil ATM/infrastructure</x:v>
      </x:c>
      <x:c r="E19" t="str">
        <x:v>Athens airport</x:v>
      </x:c>
      <x:c r="F19" t="str">
        <x:v>Radar issues</x:v>
      </x:c>
      <x:c r="G19" t="str">
        <x:v>surveillance_failure</x:v>
      </x:c>
      <x:c r="H19" t="str"/>
      <x:c r="I19" t="str">
        <x:v>Radar issues throughout June</x:v>
      </x:c>
      <x:c r="J19" t="str">
        <x:v>official reported</x:v>
      </x:c>
      <x:c r="K19" t="str">
        <x:v>information-system relevant</x:v>
      </x:c>
      <x:c r="L19" t="str">
        <x:v>none demonstrated</x:v>
      </x:c>
      <x:c r="M19" t="str">
        <x:v>no</x:v>
      </x:c>
      <x:c r="N19" t="str">
        <x:v>explained at system level</x:v>
      </x:c>
      <x:c r="O19" t="str">
        <x:v>56,728 ATFM delay min</x:v>
      </x:c>
      <x:c r="P19" t="str">
        <x:v>Large sustained surveillance degradation comparator</x:v>
      </x:c>
      <x:c r="Q19" t="str">
        <x:v>https://www.eurocontrol.int/sites/default/files/2023-07/eurocontrol-nm-monthly-network-operations-report-june-2023.pdf</x:v>
      </x:c>
      <x:c r="R19" t="str">
        <x:v>Month-level event</x:v>
      </x:c>
    </x:row>
    <x:row r="20">
      <x:c r="A20" t="str">
        <x:v>2024-08-01</x:v>
      </x:c>
      <x:c r="B20" t="str">
        <x:v>Post-COVID / Ukraine-war baseline</x:v>
      </x:c>
      <x:c r="C20" t="str">
        <x:v>France</x:v>
      </x:c>
      <x:c r="D20" t="str">
        <x:v>civil ATM/infrastructure</x:v>
      </x:c>
      <x:c r="E20" t="str">
        <x:v>Brest ACC</x:v>
      </x:c>
      <x:c r="F20" t="str">
        <x:v>ATC frequency issues</x:v>
      </x:c>
      <x:c r="G20" t="str">
        <x:v>comms_failure</x:v>
      </x:c>
      <x:c r="H20" t="str"/>
      <x:c r="I20" t="str">
        <x:v>Frequency issues throughout August</x:v>
      </x:c>
      <x:c r="J20" t="str">
        <x:v>official reported</x:v>
      </x:c>
      <x:c r="K20" t="str">
        <x:v>information-system relevant</x:v>
      </x:c>
      <x:c r="L20" t="str">
        <x:v>none demonstrated</x:v>
      </x:c>
      <x:c r="M20" t="str">
        <x:v>no</x:v>
      </x:c>
      <x:c r="N20" t="str">
        <x:v>explained at system level</x:v>
      </x:c>
      <x:c r="O20" t="str">
        <x:v>25,499 ATFM delay min</x:v>
      </x:c>
      <x:c r="P20" t="str">
        <x:v>Large sustained communications comparator</x:v>
      </x:c>
      <x:c r="Q20" t="str">
        <x:v>https://www.eurocontrol.int/sites/default/files/2025-05/eurocontrol-annual-network-operations-report-2024.pdf</x:v>
      </x:c>
      <x:c r="R20" t="str"/>
    </x:row>
    <x:row r="21">
      <x:c r="A21" t="str">
        <x:v>2024-08-10</x:v>
      </x:c>
      <x:c r="B21" t="str">
        <x:v>Post-COVID / Ukraine-war baseline</x:v>
      </x:c>
      <x:c r="C21" t="str">
        <x:v>France/Germany/Netherlands/Austria</x:v>
      </x:c>
      <x:c r="D21" t="str">
        <x:v>civil ATM/infrastructure</x:v>
      </x:c>
      <x:c r="E21" t="str">
        <x:v>Reims/Bordeaux/Maastricht/Vienna</x:v>
      </x:c>
      <x:c r="F21" t="str">
        <x:v>CPDLC issue</x:v>
      </x:c>
      <x:c r="G21" t="str">
        <x:v>datalink_cpdlc</x:v>
      </x:c>
      <x:c r="H21" t="str"/>
      <x:c r="I21" t="str">
        <x:v>CPDLC issue limited capacity in several ACCs</x:v>
      </x:c>
      <x:c r="J21" t="str">
        <x:v>official reported</x:v>
      </x:c>
      <x:c r="K21" t="str">
        <x:v>confirmed causal</x:v>
      </x:c>
      <x:c r="L21" t="str">
        <x:v>none demonstrated</x:v>
      </x:c>
      <x:c r="M21" t="str">
        <x:v>no</x:v>
      </x:c>
      <x:c r="N21" t="str">
        <x:v>explained at system level</x:v>
      </x:c>
      <x:c r="O21" t="str">
        <x:v>3,813 ATFM delay min across listed centres</x:v>
      </x:c>
      <x:c r="P21" t="str">
        <x:v>Networked datalink failure across multiple ACCs</x:v>
      </x:c>
      <x:c r="Q21" t="str">
        <x:v>https://www.eurocontrol.int/sites/default/files/2025-05/eurocontrol-annual-network-operations-report-2024.pdf</x:v>
      </x:c>
      <x:c r="R21" t="str">
        <x:v>Sum of Reims 1,727; Bordeaux 409; Maastricht 1,108; Vienna 569</x:v>
      </x:c>
    </x:row>
    <x:row r="22">
      <x:c r="A22" t="str">
        <x:v>2024-08-16</x:v>
      </x:c>
      <x:c r="B22" t="str">
        <x:v>Post-COVID / Ukraine-war baseline</x:v>
      </x:c>
      <x:c r="C22" t="str">
        <x:v>Norway</x:v>
      </x:c>
      <x:c r="D22" t="str">
        <x:v>civil ATM/infrastructure</x:v>
      </x:c>
      <x:c r="E22" t="str">
        <x:v>Bodø</x:v>
      </x:c>
      <x:c r="F22" t="str">
        <x:v>Power failure</x:v>
      </x:c>
      <x:c r="G22" t="str">
        <x:v>power_failure</x:v>
      </x:c>
      <x:c r="H22" t="str"/>
      <x:c r="I22" t="str">
        <x:v>Power failure 16–17 August</x:v>
      </x:c>
      <x:c r="J22" t="str">
        <x:v>official reported</x:v>
      </x:c>
      <x:c r="K22" t="str">
        <x:v>not applicable</x:v>
      </x:c>
      <x:c r="L22" t="str">
        <x:v>none demonstrated</x:v>
      </x:c>
      <x:c r="M22" t="str">
        <x:v>no</x:v>
      </x:c>
      <x:c r="N22" t="str">
        <x:v>explained at system level</x:v>
      </x:c>
      <x:c r="O22" t="str">
        <x:v>6,097 ATFM delay min</x:v>
      </x:c>
      <x:c r="P22" t="str">
        <x:v>Physical infrastructure comparator</x:v>
      </x:c>
      <x:c r="Q22" t="str">
        <x:v>https://www.eurocontrol.int/sites/default/files/2025-05/eurocontrol-annual-network-operations-report-2024.pdf</x:v>
      </x:c>
      <x:c r="R22" t="str"/>
    </x:row>
    <x:row r="23">
      <x:c r="A23" t="str">
        <x:v>2024-09-01</x:v>
      </x:c>
      <x:c r="B23" t="str">
        <x:v>Post-COVID / Ukraine-war baseline</x:v>
      </x:c>
      <x:c r="C23" t="str">
        <x:v>France</x:v>
      </x:c>
      <x:c r="D23" t="str">
        <x:v>civil ATM/infrastructure</x:v>
      </x:c>
      <x:c r="E23" t="str">
        <x:v>Reims ACC</x:v>
      </x:c>
      <x:c r="F23" t="str">
        <x:v>Data link issue</x:v>
      </x:c>
      <x:c r="G23" t="str">
        <x:v>datalink_cpdlc</x:v>
      </x:c>
      <x:c r="H23" t="str"/>
      <x:c r="I23" t="str">
        <x:v>Data link issue</x:v>
      </x:c>
      <x:c r="J23" t="str">
        <x:v>official reported</x:v>
      </x:c>
      <x:c r="K23" t="str">
        <x:v>confirmed causal</x:v>
      </x:c>
      <x:c r="L23" t="str">
        <x:v>none demonstrated</x:v>
      </x:c>
      <x:c r="M23" t="str">
        <x:v>no</x:v>
      </x:c>
      <x:c r="N23" t="str">
        <x:v>explained at system level</x:v>
      </x:c>
      <x:c r="O23" t="str">
        <x:v>4,870 ATFM delay min</x:v>
      </x:c>
      <x:c r="P23" t="str">
        <x:v>Datalink comparator</x:v>
      </x:c>
      <x:c r="Q23" t="str">
        <x:v>https://www.eurocontrol.int/sites/default/files/2025-05/eurocontrol-annual-network-operations-report-2024.pdf</x:v>
      </x:c>
      <x:c r="R23" t="str"/>
    </x:row>
    <x:row r="24">
      <x:c r="A24" t="str">
        <x:v>2024-09-07</x:v>
      </x:c>
      <x:c r="B24" t="str">
        <x:v>Post-COVID / Ukraine-war baseline</x:v>
      </x:c>
      <x:c r="C24" t="str">
        <x:v>North Atlantic/UK-Ireland service</x:v>
      </x:c>
      <x:c r="D24" t="str">
        <x:v>civil ATM/infrastructure</x:v>
      </x:c>
      <x:c r="E24" t="str">
        <x:v>Shanwick OACC</x:v>
      </x:c>
      <x:c r="F24" t="str">
        <x:v>Oceanic Centre technical issue</x:v>
      </x:c>
      <x:c r="G24" t="str">
        <x:v>hardware_failure</x:v>
      </x:c>
      <x:c r="H24" t="str"/>
      <x:c r="I24" t="str">
        <x:v>Technical issue with Oceanic Centre systems</x:v>
      </x:c>
      <x:c r="J24" t="str">
        <x:v>official reported</x:v>
      </x:c>
      <x:c r="K24" t="str">
        <x:v>information-system relevant</x:v>
      </x:c>
      <x:c r="L24" t="str">
        <x:v>none demonstrated</x:v>
      </x:c>
      <x:c r="M24" t="str">
        <x:v>no</x:v>
      </x:c>
      <x:c r="N24" t="str">
        <x:v>explained at system level</x:v>
      </x:c>
      <x:c r="O24" t="str">
        <x:v>1,321 ATFM delay min</x:v>
      </x:c>
      <x:c r="P24" t="str">
        <x:v>Oceanic-control-system comparator</x:v>
      </x:c>
      <x:c r="Q24" t="str">
        <x:v>https://www.eurocontrol.int/sites/default/files/2025-05/eurocontrol-annual-network-operations-report-2024.pdf</x:v>
      </x:c>
      <x:c r="R24" t="str"/>
    </x:row>
    <x:row r="25">
      <x:c r="A25" t="str">
        <x:v>2024-09-23</x:v>
      </x:c>
      <x:c r="B25" t="str">
        <x:v>Post-COVID / Ukraine-war baseline</x:v>
      </x:c>
      <x:c r="C25" t="str">
        <x:v>Croatia</x:v>
      </x:c>
      <x:c r="D25" t="str">
        <x:v>civil ATM/infrastructure</x:v>
      </x:c>
      <x:c r="E25" t="str">
        <x:v>Zagreb ACC</x:v>
      </x:c>
      <x:c r="F25" t="str">
        <x:v>Communication system failure</x:v>
      </x:c>
      <x:c r="G25" t="str">
        <x:v>comms_failure</x:v>
      </x:c>
      <x:c r="H25" t="str"/>
      <x:c r="I25" t="str">
        <x:v>Communication system failure</x:v>
      </x:c>
      <x:c r="J25" t="str">
        <x:v>official reported</x:v>
      </x:c>
      <x:c r="K25" t="str">
        <x:v>confirmed causal</x:v>
      </x:c>
      <x:c r="L25" t="str">
        <x:v>none demonstrated</x:v>
      </x:c>
      <x:c r="M25" t="str">
        <x:v>no</x:v>
      </x:c>
      <x:c r="N25" t="str">
        <x:v>explained at system level</x:v>
      </x:c>
      <x:c r="O25" t="str">
        <x:v>1,113 ATFM delay min</x:v>
      </x:c>
      <x:c r="P25" t="str">
        <x:v>Explicit communications-system failure</x:v>
      </x:c>
      <x:c r="Q25" t="str">
        <x:v>https://www.eurocontrol.int/sites/default/files/2025-05/eurocontrol-annual-network-operations-report-2024.pdf</x:v>
      </x:c>
      <x:c r="R25" t="str"/>
    </x:row>
    <x:row r="26">
      <x:c r="A26" t="str">
        <x:v>2024-09-24</x:v>
      </x:c>
      <x:c r="B26" t="str">
        <x:v>Post-COVID / Ukraine-war baseline</x:v>
      </x:c>
      <x:c r="C26" t="str">
        <x:v>France</x:v>
      </x:c>
      <x:c r="D26" t="str">
        <x:v>civil ATM/infrastructure</x:v>
      </x:c>
      <x:c r="E26" t="str">
        <x:v>Marseille ACC</x:v>
      </x:c>
      <x:c r="F26" t="str">
        <x:v>Communication system failure</x:v>
      </x:c>
      <x:c r="G26" t="str">
        <x:v>comms_failure</x:v>
      </x:c>
      <x:c r="H26" t="str"/>
      <x:c r="I26" t="str">
        <x:v>Failure caused precautionary measures in neighbouring ACCs</x:v>
      </x:c>
      <x:c r="J26" t="str">
        <x:v>official reported</x:v>
      </x:c>
      <x:c r="K26" t="str">
        <x:v>confirmed causal</x:v>
      </x:c>
      <x:c r="L26" t="str">
        <x:v>none demonstrated</x:v>
      </x:c>
      <x:c r="M26" t="str">
        <x:v>no</x:v>
      </x:c>
      <x:c r="N26" t="str">
        <x:v>explained at system level</x:v>
      </x:c>
      <x:c r="O26" t="str">
        <x:v>6,888 min Marseille + 4,245 neighbouring delay</x:v>
      </x:c>
      <x:c r="P26" t="str">
        <x:v>Large communications failure with cross-border propagation</x:v>
      </x:c>
      <x:c r="Q26" t="str">
        <x:v>https://www.eurocontrol.int/sites/default/files/2025-05/eurocontrol-annual-network-operations-report-2024.pdf</x:v>
      </x:c>
      <x:c r="R26" t="str">
        <x:v>Neighbouring: Alger 1,492; Barcelona 1,345; Madrid 1,408</x:v>
      </x:c>
    </x:row>
    <x:row r="27">
      <x:c r="A27" t="str">
        <x:v>2024-10-04</x:v>
      </x:c>
      <x:c r="B27" t="str">
        <x:v>Post-COVID / Ukraine-war baseline</x:v>
      </x:c>
      <x:c r="C27" t="str">
        <x:v>Germany</x:v>
      </x:c>
      <x:c r="D27" t="str">
        <x:v>civil ATM/infrastructure</x:v>
      </x:c>
      <x:c r="E27" t="str">
        <x:v>Karlsruhe UAC / Munich / Bremen</x:v>
      </x:c>
      <x:c r="F27" t="str">
        <x:v>DFS control-centre technical issue</x:v>
      </x:c>
      <x:c r="G27" t="str">
        <x:v>hardware_failure</x:v>
      </x:c>
      <x:c r="H27" t="str"/>
      <x:c r="I27" t="str">
        <x:v>Technical issue led to capacity reduction across several German centres</x:v>
      </x:c>
      <x:c r="J27" t="str">
        <x:v>official reported</x:v>
      </x:c>
      <x:c r="K27" t="str">
        <x:v>information-system relevant</x:v>
      </x:c>
      <x:c r="L27" t="str">
        <x:v>none demonstrated</x:v>
      </x:c>
      <x:c r="M27" t="str">
        <x:v>no</x:v>
      </x:c>
      <x:c r="N27" t="str">
        <x:v>explained at system level</x:v>
      </x:c>
      <x:c r="O27" t="str">
        <x:v>42,161 ATFM delay min</x:v>
      </x:c>
      <x:c r="P27" t="str">
        <x:v>Very large multi-centre technical-failure comparator</x:v>
      </x:c>
      <x:c r="Q27" t="str">
        <x:v>https://www.eurocontrol.int/sites/default/files/2025-05/eurocontrol-annual-network-operations-report-2024.pdf</x:v>
      </x:c>
      <x:c r="R27" t="str"/>
    </x:row>
    <x:row r="28">
      <x:c r="A28" t="str">
        <x:v>2024-10-04</x:v>
      </x:c>
      <x:c r="B28" t="str">
        <x:v>Post-COVID / Ukraine-war baseline</x:v>
      </x:c>
      <x:c r="C28" t="str">
        <x:v>Germany</x:v>
      </x:c>
      <x:c r="D28" t="str">
        <x:v>civil ATM/infrastructure</x:v>
      </x:c>
      <x:c r="E28" t="str">
        <x:v>Bremen</x:v>
      </x:c>
      <x:c r="F28" t="str">
        <x:v>Communication system issue</x:v>
      </x:c>
      <x:c r="G28" t="str">
        <x:v>comms_failure</x:v>
      </x:c>
      <x:c r="H28" t="str"/>
      <x:c r="I28" t="str">
        <x:v>Issues on 4 and 15 October</x:v>
      </x:c>
      <x:c r="J28" t="str">
        <x:v>official reported</x:v>
      </x:c>
      <x:c r="K28" t="str">
        <x:v>information-system relevant</x:v>
      </x:c>
      <x:c r="L28" t="str">
        <x:v>none demonstrated</x:v>
      </x:c>
      <x:c r="M28" t="str">
        <x:v>no</x:v>
      </x:c>
      <x:c r="N28" t="str">
        <x:v>explained at system level</x:v>
      </x:c>
      <x:c r="O28" t="str">
        <x:v>2,266 ATFM delay min</x:v>
      </x:c>
      <x:c r="P28" t="str">
        <x:v>Communications comparator</x:v>
      </x:c>
      <x:c r="Q28" t="str">
        <x:v>https://www.eurocontrol.int/sites/default/files/2025-05/eurocontrol-annual-network-operations-report-2024.pdf</x:v>
      </x:c>
      <x:c r="R28" t="str"/>
    </x:row>
    <x:row r="29">
      <x:c r="A29" t="str">
        <x:v>2024-10-20</x:v>
      </x:c>
      <x:c r="B29" t="str">
        <x:v>Post-COVID / Ukraine-war baseline</x:v>
      </x:c>
      <x:c r="C29" t="str">
        <x:v>Italy</x:v>
      </x:c>
      <x:c r="D29" t="str">
        <x:v>civil ATM/infrastructure</x:v>
      </x:c>
      <x:c r="E29" t="str">
        <x:v>Milano</x:v>
      </x:c>
      <x:c r="F29" t="str">
        <x:v>FDPS failure</x:v>
      </x:c>
      <x:c r="G29" t="str">
        <x:v>flight_data_processing</x:v>
      </x:c>
      <x:c r="H29" t="str"/>
      <x:c r="I29" t="str">
        <x:v>Flight-data-processing-system failure</x:v>
      </x:c>
      <x:c r="J29" t="str">
        <x:v>official reported</x:v>
      </x:c>
      <x:c r="K29" t="str">
        <x:v>confirmed causal</x:v>
      </x:c>
      <x:c r="L29" t="str">
        <x:v>none demonstrated</x:v>
      </x:c>
      <x:c r="M29" t="str">
        <x:v>no</x:v>
      </x:c>
      <x:c r="N29" t="str">
        <x:v>explained at system level</x:v>
      </x:c>
      <x:c r="O29" t="str">
        <x:v>9,772 ATFM delay min</x:v>
      </x:c>
      <x:c r="P29" t="str">
        <x:v>Explicit FDPS comparator</x:v>
      </x:c>
      <x:c r="Q29" t="str">
        <x:v>https://www.eurocontrol.int/sites/default/files/2025-05/eurocontrol-annual-network-operations-report-2024.pdf</x:v>
      </x:c>
      <x:c r="R29" t="str"/>
    </x:row>
    <x:row r="30">
      <x:c r="A30" t="str">
        <x:v>2024-11-22</x:v>
      </x:c>
      <x:c r="B30" t="str">
        <x:v>Post-COVID / Ukraine-war baseline</x:v>
      </x:c>
      <x:c r="C30" t="str">
        <x:v>Germany</x:v>
      </x:c>
      <x:c r="D30" t="str">
        <x:v>civil ATM/infrastructure</x:v>
      </x:c>
      <x:c r="E30" t="str">
        <x:v>Karlsruhe UAC</x:v>
      </x:c>
      <x:c r="F30" t="str">
        <x:v>FDPS instability</x:v>
      </x:c>
      <x:c r="G30" t="str">
        <x:v>flight_data_processing</x:v>
      </x:c>
      <x:c r="H30" t="str"/>
      <x:c r="I30" t="str">
        <x:v>Flight-data-processing-system instability</x:v>
      </x:c>
      <x:c r="J30" t="str">
        <x:v>official reported</x:v>
      </x:c>
      <x:c r="K30" t="str">
        <x:v>confirmed causal</x:v>
      </x:c>
      <x:c r="L30" t="str">
        <x:v>none demonstrated</x:v>
      </x:c>
      <x:c r="M30" t="str">
        <x:v>no</x:v>
      </x:c>
      <x:c r="N30" t="str">
        <x:v>explained at system level</x:v>
      </x:c>
      <x:c r="O30" t="str">
        <x:v>4,152 ATFM delay min</x:v>
      </x:c>
      <x:c r="P30" t="str">
        <x:v>Digital instability rather than complete outage</x:v>
      </x:c>
      <x:c r="Q30" t="str">
        <x:v>https://www.eurocontrol.int/sites/default/files/2025-05/eurocontrol-annual-network-operations-report-2024.pdf</x:v>
      </x:c>
      <x:c r="R30" t="str"/>
    </x:row>
    <x:row r="31">
      <x:c r="A31" t="str">
        <x:v>2024-11-23</x:v>
      </x:c>
      <x:c r="B31" t="str">
        <x:v>Post-COVID / Ukraine-war baseline</x:v>
      </x:c>
      <x:c r="C31" t="str">
        <x:v>Netherlands/France</x:v>
      </x:c>
      <x:c r="D31" t="str">
        <x:v>civil ATM/infrastructure</x:v>
      </x:c>
      <x:c r="E31" t="str">
        <x:v>Maastricht UAC / Bordeaux</x:v>
      </x:c>
      <x:c r="F31" t="str">
        <x:v>Datalink system issues</x:v>
      </x:c>
      <x:c r="G31" t="str">
        <x:v>datalink_cpdlc</x:v>
      </x:c>
      <x:c r="H31" t="str"/>
      <x:c r="I31" t="str">
        <x:v>Datalink system issues</x:v>
      </x:c>
      <x:c r="J31" t="str">
        <x:v>official reported</x:v>
      </x:c>
      <x:c r="K31" t="str">
        <x:v>confirmed causal</x:v>
      </x:c>
      <x:c r="L31" t="str">
        <x:v>none demonstrated</x:v>
      </x:c>
      <x:c r="M31" t="str">
        <x:v>no</x:v>
      </x:c>
      <x:c r="N31" t="str">
        <x:v>explained at system level</x:v>
      </x:c>
      <x:c r="O31" t="str">
        <x:v>1,523 ATFM delay min</x:v>
      </x:c>
      <x:c r="P31" t="str">
        <x:v>Networked datalink comparator</x:v>
      </x:c>
      <x:c r="Q31" t="str">
        <x:v>https://www.eurocontrol.int/sites/default/files/2025-05/eurocontrol-annual-network-operations-report-2024.pdf</x:v>
      </x:c>
      <x:c r="R31" t="str"/>
    </x:row>
    <x:row r="32">
      <x:c r="A32" t="str">
        <x:v>2024-12-01</x:v>
      </x:c>
      <x:c r="B32" t="str">
        <x:v>Post-COVID / Ukraine-war baseline</x:v>
      </x:c>
      <x:c r="C32" t="str">
        <x:v>Spain</x:v>
      </x:c>
      <x:c r="D32" t="str">
        <x:v>civil ATM/infrastructure</x:v>
      </x:c>
      <x:c r="E32" t="str">
        <x:v>Barcelona / Valencia TMA</x:v>
      </x:c>
      <x:c r="F32" t="str">
        <x:v>Local radar issues</x:v>
      </x:c>
      <x:c r="G32" t="str">
        <x:v>surveillance_failure</x:v>
      </x:c>
      <x:c r="H32" t="str"/>
      <x:c r="I32" t="str">
        <x:v>Local radar issues throughout December</x:v>
      </x:c>
      <x:c r="J32" t="str">
        <x:v>official reported</x:v>
      </x:c>
      <x:c r="K32" t="str">
        <x:v>information-system relevant</x:v>
      </x:c>
      <x:c r="L32" t="str">
        <x:v>none demonstrated</x:v>
      </x:c>
      <x:c r="M32" t="str">
        <x:v>no</x:v>
      </x:c>
      <x:c r="N32" t="str">
        <x:v>explained at system level</x:v>
      </x:c>
      <x:c r="O32" t="str">
        <x:v>11,537 ATFM delay min</x:v>
      </x:c>
      <x:c r="P32" t="str">
        <x:v>Sustained radar-degradation comparator</x:v>
      </x:c>
      <x:c r="Q32" t="str">
        <x:v>https://www.eurocontrol.int/sites/default/files/2025-05/eurocontrol-annual-network-operations-report-2024.pdf</x:v>
      </x:c>
      <x:c r="R32" t="str">
        <x:v>Month-level event</x:v>
      </x:c>
    </x:row>
    <x:row r="33">
      <x:c r="A33" t="str">
        <x:v>2025-06-01</x:v>
      </x:c>
      <x:c r="B33" t="str">
        <x:v>Post-COVID / Ukraine-war baseline</x:v>
      </x:c>
      <x:c r="C33" t="str">
        <x:v>Europe</x:v>
      </x:c>
      <x:c r="D33" t="str">
        <x:v>civil ATM/infrastructure</x:v>
      </x:c>
      <x:c r="E33" t="str">
        <x:v>European datalink network</x:v>
      </x:c>
      <x:c r="F33" t="str">
        <x:v>CPDLC service degradation</x:v>
      </x:c>
      <x:c r="G33" t="str">
        <x:v>datalink_cpdlc</x:v>
      </x:c>
      <x:c r="H33" t="str"/>
      <x:c r="I33" t="str">
        <x:v>About 66 hours of flight delay attributed to CPDLC issues in summer comparison</x:v>
      </x:c>
      <x:c r="J33" t="str">
        <x:v>official reported</x:v>
      </x:c>
      <x:c r="K33" t="str">
        <x:v>confirmed causal</x:v>
      </x:c>
      <x:c r="L33" t="str">
        <x:v>none demonstrated</x:v>
      </x:c>
      <x:c r="M33" t="str">
        <x:v>no</x:v>
      </x:c>
      <x:c r="N33" t="str">
        <x:v>explained at system level</x:v>
      </x:c>
      <x:c r="O33" t="str">
        <x:v>~66 delay hours vs ~500 hours same period 2024</x:v>
      </x:c>
      <x:c r="P33" t="str">
        <x:v>Quantifies improvement after 2024 datalink resilience work</x:v>
      </x:c>
      <x:c r="Q33" t="str">
        <x:v>https://www.eurocontrol.int/sites/default/files/2025-08/eurocontrol-datalink-summer-performance-report-2025.pdf</x:v>
      </x:c>
      <x:c r="R33" t="str">
        <x:v>Period-level metric rather than one outage</x:v>
      </x:c>
    </x:row>
    <x:row r="34">
      <x:c r="A34" t="str">
        <x:v>2025-08-01</x:v>
      </x:c>
      <x:c r="B34" t="str">
        <x:v>Post-COVID / Ukraine-war baseline</x:v>
      </x:c>
      <x:c r="C34" t="str">
        <x:v>Europe</x:v>
      </x:c>
      <x:c r="D34" t="str">
        <x:v>civil ATM/infrastructure</x:v>
      </x:c>
      <x:c r="E34" t="str">
        <x:v>European datalink network</x:v>
      </x:c>
      <x:c r="F34" t="str">
        <x:v>CPDLC performance</x:v>
      </x:c>
      <x:c r="G34" t="str">
        <x:v>datalink_cpdlc</x:v>
      </x:c>
      <x:c r="H34" t="str"/>
      <x:c r="I34" t="str">
        <x:v>57.6 delay hours vs 195.9 hours Aug 2024 despite &gt;20% CPDLC traffic growth</x:v>
      </x:c>
      <x:c r="J34" t="str">
        <x:v>official reported</x:v>
      </x:c>
      <x:c r="K34" t="str">
        <x:v>confirmed causal</x:v>
      </x:c>
      <x:c r="L34" t="str">
        <x:v>none demonstrated</x:v>
      </x:c>
      <x:c r="M34" t="str">
        <x:v>no</x:v>
      </x:c>
      <x:c r="N34" t="str">
        <x:v>explained at system level</x:v>
      </x:c>
      <x:c r="O34" t="str">
        <x:v>57.6 delay hours</x:v>
      </x:c>
      <x:c r="P34" t="str">
        <x:v>Strong exposure-aware resilience comparator</x:v>
      </x:c>
      <x:c r="Q34" t="str">
        <x:v>https://www.eurocontrol.int/publication/datalink-summer-performance-report-august-2025</x:v>
      </x:c>
      <x:c r="R34" t="str">
        <x:v>Provider Abort rate 8.6 per 100 hours remained stable</x:v>
      </x:c>
    </x:row>
  </x:sheetData>
  <x:dataValidations count="3">
    <x:dataValidation type="list" sqref="J2:J500">
      <x:formula1>"confirmed,official reported,official preliminary,credible reported,suspected,unknown,official assessment,confirmed external technical event"</x:formula1>
    </x:dataValidation>
    <x:dataValidation type="list" sqref="K2:K500">
      <x:formula1>"confirmed causal,confirmed contributory,confirmed environmental,information-system relevant,possible,specifically ruled out,no evidence either way,not applicable,unknown"</x:formula1>
    </x:dataValidation>
    <x:dataValidation type="list" sqref="M2:M500">
      <x:formula1>"no,yes - hostile,yes - friendly,not an accident,unknown"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</x:cols>
  <x:sheetData>
    <x:row r="1">
      <x:c r="A1" s="29" t="str">
        <x:v>Current causal coding — working snapshot</x:v>
      </x:c>
      <x:c r="B1" s="11" t="str"/>
    </x:row>
    <x:row r="2">
      <x:c r="A2" s="30" t="str">
        <x:v>Metric</x:v>
      </x:c>
      <x:c r="B2" s="30" t="str">
        <x:v>Current ledger count</x:v>
      </x:c>
    </x:row>
    <x:row r="3">
      <x:c r="A3" s="11" t="str">
        <x:v>Rows in causal ledger</x:v>
      </x:c>
      <x:c r="B3" s="11" t="n">
        <x:f>COUNTA(Causal_Event_Ledger!A2:A500)</x:f>
        <x:v>33</x:v>
      </x:c>
    </x:row>
    <x:row r="4">
      <x:c r="A4" s="11" t="str">
        <x:v>Rows with confirmed environmental GNSS/EW</x:v>
      </x:c>
      <x:c r="B4" s="11" t="n">
        <x:f>COUNTIF(Causal_Event_Ledger!K2:K500,"confirmed environmental")</x:f>
        <x:v>3</x:v>
      </x:c>
    </x:row>
    <x:row r="5">
      <x:c r="A5" s="11" t="str">
        <x:v>Rows information-system relevant</x:v>
      </x:c>
      <x:c r="B5" s="11" t="n">
        <x:f>COUNTIF(Causal_Event_Ledger!K2:K500,"information-system relevant")</x:f>
        <x:v>17</x:v>
      </x:c>
    </x:row>
    <x:row r="6">
      <x:c r="A6" s="11" t="str">
        <x:v>Rows confirmed causal digital</x:v>
      </x:c>
      <x:c r="B6" s="11" t="n">
        <x:f>COUNTIF(Causal_Event_Ledger!K2:K500,"confirmed causal")</x:f>
        <x:v>12</x:v>
      </x:c>
    </x:row>
    <x:row r="7">
      <x:c r="A7" s="11" t="str">
        <x:v>Unknown / no evidence rows</x:v>
      </x:c>
      <x:c r="B7" s="11" t="n">
        <x:f>COUNTIF(Causal_Event_Ledger!K2:K500,"unknown")+COUNTIF(Causal_Event_Ledger!K2:K500,"no evidence either way")</x:f>
        <x:v>0</x:v>
      </x:c>
    </x:row>
    <x:row r="8">
      <x:c r="A8" s="11" t="str">
        <x:v>Important</x:v>
      </x:c>
      <x:c r="B8" s="11" t="str">
        <x:v>This sheet is descriptive of the backfilled ledger, not a claim about population rates until all years are populated.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33" t="str">
        <x:v>Year</x:v>
      </x:c>
      <x:c r="B1" s="33" t="str">
        <x:v>comms_failure</x:v>
      </x:c>
      <x:c r="C1" s="33" t="str">
        <x:v>surveillance_failure</x:v>
      </x:c>
      <x:c r="D1" s="33" t="str">
        <x:v>flight_data_processing</x:v>
      </x:c>
      <x:c r="E1" s="33" t="str">
        <x:v>datalink_cpdlc</x:v>
      </x:c>
      <x:c r="F1" s="33" t="str">
        <x:v>network_connectivity</x:v>
      </x:c>
      <x:c r="G1" s="33" t="str">
        <x:v>power_failure</x:v>
      </x:c>
      <x:c r="H1" s="33" t="str">
        <x:v>hardware_failure</x:v>
      </x:c>
      <x:c r="I1" s="33" t="str">
        <x:v>software_failure</x:v>
      </x:c>
      <x:c r="J1" s="33" t="str">
        <x:v>gnss_jamming</x:v>
      </x:c>
      <x:c r="K1" s="33" t="str">
        <x:v>gnss_spoofing</x:v>
      </x:c>
      <x:c r="L1" s="33" t="str">
        <x:v>unknown_investigation</x:v>
      </x:c>
      <x:c r="M1" s="33" t="str">
        <x:v>Ledger rows</x:v>
      </x:c>
    </x:row>
    <x:row r="2">
      <x:c r="A2" s="11" t="n">
        <x:v>2016</x:v>
      </x:c>
      <x:c r="B2" s="11" t="n">
        <x:f>COUNTIFS(Causal_Event_Ledger!$A$2:$A$500,"&gt;="&amp;"2016-01-01",Causal_Event_Ledger!$A$2:$A$500,"&lt;="&amp;"2016-12-31",Causal_Event_Ledger!$G$2:$G$500,"comms_failure")+COUNTIFS(Causal_Event_Ledger!$A$2:$A$500,"&gt;="&amp;"2016-01-01",Causal_Event_Ledger!$A$2:$A$500,"&lt;="&amp;"2016-12-31",Causal_Event_Ledger!$H$2:$H$500,"comms_failure")</x:f>
        <x:v>1</x:v>
      </x:c>
      <x:c r="C2" s="11" t="n">
        <x:f>COUNTIFS(Causal_Event_Ledger!$A$2:$A$500,"&gt;="&amp;"2016-01-01",Causal_Event_Ledger!$A$2:$A$500,"&lt;="&amp;"2016-12-31",Causal_Event_Ledger!$G$2:$G$500,"surveillance_failure")+COUNTIFS(Causal_Event_Ledger!$A$2:$A$500,"&gt;="&amp;"2016-01-01",Causal_Event_Ledger!$A$2:$A$500,"&lt;="&amp;"2016-12-31",Causal_Event_Ledger!$H$2:$H$500,"surveillance_failure")</x:f>
        <x:v>1</x:v>
      </x:c>
      <x:c r="D2" s="11" t="n">
        <x:f>COUNTIFS(Causal_Event_Ledger!$A$2:$A$500,"&gt;="&amp;"2016-01-01",Causal_Event_Ledger!$A$2:$A$500,"&lt;="&amp;"2016-12-31",Causal_Event_Ledger!$G$2:$G$500,"flight_data_processing")+COUNTIFS(Causal_Event_Ledger!$A$2:$A$500,"&gt;="&amp;"2016-01-01",Causal_Event_Ledger!$A$2:$A$500,"&lt;="&amp;"2016-12-31",Causal_Event_Ledger!$H$2:$H$500,"flight_data_processing")</x:f>
        <x:v>0</x:v>
      </x:c>
      <x:c r="E2" s="11" t="n">
        <x:f>COUNTIFS(Causal_Event_Ledger!$A$2:$A$500,"&gt;="&amp;"2016-01-01",Causal_Event_Ledger!$A$2:$A$500,"&lt;="&amp;"2016-12-31",Causal_Event_Ledger!$G$2:$G$500,"datalink_cpdlc")+COUNTIFS(Causal_Event_Ledger!$A$2:$A$500,"&gt;="&amp;"2016-01-01",Causal_Event_Ledger!$A$2:$A$500,"&lt;="&amp;"2016-12-31",Causal_Event_Ledger!$H$2:$H$500,"datalink_cpdlc")</x:f>
        <x:v>0</x:v>
      </x:c>
      <x:c r="F2" s="11" t="n">
        <x:f>COUNTIFS(Causal_Event_Ledger!$A$2:$A$500,"&gt;="&amp;"2016-01-01",Causal_Event_Ledger!$A$2:$A$500,"&lt;="&amp;"2016-12-31",Causal_Event_Ledger!$G$2:$G$500,"network_connectivity")+COUNTIFS(Causal_Event_Ledger!$A$2:$A$500,"&gt;="&amp;"2016-01-01",Causal_Event_Ledger!$A$2:$A$500,"&lt;="&amp;"2016-12-31",Causal_Event_Ledger!$H$2:$H$500,"network_connectivity")</x:f>
        <x:v>0</x:v>
      </x:c>
      <x:c r="G2" s="11" t="n">
        <x:f>COUNTIFS(Causal_Event_Ledger!$A$2:$A$500,"&gt;="&amp;"2016-01-01",Causal_Event_Ledger!$A$2:$A$500,"&lt;="&amp;"2016-12-31",Causal_Event_Ledger!$G$2:$G$500,"power_failure")+COUNTIFS(Causal_Event_Ledger!$A$2:$A$500,"&gt;="&amp;"2016-01-01",Causal_Event_Ledger!$A$2:$A$500,"&lt;="&amp;"2016-12-31",Causal_Event_Ledger!$H$2:$H$500,"power_failure")</x:f>
        <x:v>0</x:v>
      </x:c>
      <x:c r="H2" s="11" t="n">
        <x:f>COUNTIFS(Causal_Event_Ledger!$A$2:$A$500,"&gt;="&amp;"2016-01-01",Causal_Event_Ledger!$A$2:$A$500,"&lt;="&amp;"2016-12-31",Causal_Event_Ledger!$G$2:$G$500,"hardware_failure")+COUNTIFS(Causal_Event_Ledger!$A$2:$A$500,"&gt;="&amp;"2016-01-01",Causal_Event_Ledger!$A$2:$A$500,"&lt;="&amp;"2016-12-31",Causal_Event_Ledger!$H$2:$H$500,"hardware_failure")</x:f>
        <x:v>3</x:v>
      </x:c>
      <x:c r="I2" s="11" t="n">
        <x:f>COUNTIFS(Causal_Event_Ledger!$A$2:$A$500,"&gt;="&amp;"2016-01-01",Causal_Event_Ledger!$A$2:$A$500,"&lt;="&amp;"2016-12-31",Causal_Event_Ledger!$G$2:$G$500,"software_failure")+COUNTIFS(Causal_Event_Ledger!$A$2:$A$500,"&gt;="&amp;"2016-01-01",Causal_Event_Ledger!$A$2:$A$500,"&lt;="&amp;"2016-12-31",Causal_Event_Ledger!$H$2:$H$500,"software_failure")</x:f>
        <x:v>0</x:v>
      </x:c>
      <x:c r="J2" s="11" t="n">
        <x:f>COUNTIFS(Causal_Event_Ledger!$A$2:$A$500,"&gt;="&amp;"2016-01-01",Causal_Event_Ledger!$A$2:$A$500,"&lt;="&amp;"2016-12-31",Causal_Event_Ledger!$G$2:$G$500,"gnss_jamming")+COUNTIFS(Causal_Event_Ledger!$A$2:$A$500,"&gt;="&amp;"2016-01-01",Causal_Event_Ledger!$A$2:$A$500,"&lt;="&amp;"2016-12-31",Causal_Event_Ledger!$H$2:$H$500,"gnss_jamming")</x:f>
        <x:v>0</x:v>
      </x:c>
      <x:c r="K2" s="11" t="n">
        <x:f>COUNTIFS(Causal_Event_Ledger!$A$2:$A$500,"&gt;="&amp;"2016-01-01",Causal_Event_Ledger!$A$2:$A$500,"&lt;="&amp;"2016-12-31",Causal_Event_Ledger!$G$2:$G$500,"gnss_spoofing")+COUNTIFS(Causal_Event_Ledger!$A$2:$A$500,"&gt;="&amp;"2016-01-01",Causal_Event_Ledger!$A$2:$A$500,"&lt;="&amp;"2016-12-31",Causal_Event_Ledger!$H$2:$H$500,"gnss_spoofing")</x:f>
        <x:v>0</x:v>
      </x:c>
      <x:c r="L2" s="11" t="n">
        <x:f>COUNTIFS(Causal_Event_Ledger!$A$2:$A$500,"&gt;="&amp;"2016-01-01",Causal_Event_Ledger!$A$2:$A$500,"&lt;="&amp;"2016-12-31",Causal_Event_Ledger!$G$2:$G$500,"unknown_investigation")+COUNTIFS(Causal_Event_Ledger!$A$2:$A$500,"&gt;="&amp;"2016-01-01",Causal_Event_Ledger!$A$2:$A$500,"&lt;="&amp;"2016-12-31",Causal_Event_Ledger!$H$2:$H$500,"unknown_investigation")</x:f>
        <x:v>0</x:v>
      </x:c>
      <x:c r="M2" s="11" t="n">
        <x:f>COUNTIFS(Causal_Event_Ledger!$A$2:$A$500,"&gt;="&amp;"2016-01-01",Causal_Event_Ledger!$A$2:$A$500,"&lt;="&amp;"2016-12-31")</x:f>
        <x:v>4</x:v>
      </x:c>
    </x:row>
    <x:row r="3">
      <x:c r="A3" s="11" t="n">
        <x:v>2017</x:v>
      </x:c>
      <x:c r="B3" s="11" t="n">
        <x:f>COUNTIFS(Causal_Event_Ledger!$A$2:$A$500,"&gt;="&amp;"2017-01-01",Causal_Event_Ledger!$A$2:$A$500,"&lt;="&amp;"2017-12-31",Causal_Event_Ledger!$G$2:$G$500,"comms_failure")+COUNTIFS(Causal_Event_Ledger!$A$2:$A$500,"&gt;="&amp;"2017-01-01",Causal_Event_Ledger!$A$2:$A$500,"&lt;="&amp;"2017-12-31",Causal_Event_Ledger!$H$2:$H$500,"comms_failure")</x:f>
        <x:v>0</x:v>
      </x:c>
      <x:c r="C3" s="11" t="n">
        <x:f>COUNTIFS(Causal_Event_Ledger!$A$2:$A$500,"&gt;="&amp;"2017-01-01",Causal_Event_Ledger!$A$2:$A$500,"&lt;="&amp;"2017-12-31",Causal_Event_Ledger!$G$2:$G$500,"surveillance_failure")+COUNTIFS(Causal_Event_Ledger!$A$2:$A$500,"&gt;="&amp;"2017-01-01",Causal_Event_Ledger!$A$2:$A$500,"&lt;="&amp;"2017-12-31",Causal_Event_Ledger!$H$2:$H$500,"surveillance_failure")</x:f>
        <x:v>0</x:v>
      </x:c>
      <x:c r="D3" s="11" t="n">
        <x:f>COUNTIFS(Causal_Event_Ledger!$A$2:$A$500,"&gt;="&amp;"2017-01-01",Causal_Event_Ledger!$A$2:$A$500,"&lt;="&amp;"2017-12-31",Causal_Event_Ledger!$G$2:$G$500,"flight_data_processing")+COUNTIFS(Causal_Event_Ledger!$A$2:$A$500,"&gt;="&amp;"2017-01-01",Causal_Event_Ledger!$A$2:$A$500,"&lt;="&amp;"2017-12-31",Causal_Event_Ledger!$H$2:$H$500,"flight_data_processing")</x:f>
        <x:v>0</x:v>
      </x:c>
      <x:c r="E3" s="11" t="n">
        <x:f>COUNTIFS(Causal_Event_Ledger!$A$2:$A$500,"&gt;="&amp;"2017-01-01",Causal_Event_Ledger!$A$2:$A$500,"&lt;="&amp;"2017-12-31",Causal_Event_Ledger!$G$2:$G$500,"datalink_cpdlc")+COUNTIFS(Causal_Event_Ledger!$A$2:$A$500,"&gt;="&amp;"2017-01-01",Causal_Event_Ledger!$A$2:$A$500,"&lt;="&amp;"2017-12-31",Causal_Event_Ledger!$H$2:$H$500,"datalink_cpdlc")</x:f>
        <x:v>0</x:v>
      </x:c>
      <x:c r="F3" s="11" t="n">
        <x:f>COUNTIFS(Causal_Event_Ledger!$A$2:$A$500,"&gt;="&amp;"2017-01-01",Causal_Event_Ledger!$A$2:$A$500,"&lt;="&amp;"2017-12-31",Causal_Event_Ledger!$G$2:$G$500,"network_connectivity")+COUNTIFS(Causal_Event_Ledger!$A$2:$A$500,"&gt;="&amp;"2017-01-01",Causal_Event_Ledger!$A$2:$A$500,"&lt;="&amp;"2017-12-31",Causal_Event_Ledger!$H$2:$H$500,"network_connectivity")</x:f>
        <x:v>0</x:v>
      </x:c>
      <x:c r="G3" s="11" t="n">
        <x:f>COUNTIFS(Causal_Event_Ledger!$A$2:$A$500,"&gt;="&amp;"2017-01-01",Causal_Event_Ledger!$A$2:$A$500,"&lt;="&amp;"2017-12-31",Causal_Event_Ledger!$G$2:$G$500,"power_failure")+COUNTIFS(Causal_Event_Ledger!$A$2:$A$500,"&gt;="&amp;"2017-01-01",Causal_Event_Ledger!$A$2:$A$500,"&lt;="&amp;"2017-12-31",Causal_Event_Ledger!$H$2:$H$500,"power_failure")</x:f>
        <x:v>0</x:v>
      </x:c>
      <x:c r="H3" s="11" t="n">
        <x:f>COUNTIFS(Causal_Event_Ledger!$A$2:$A$500,"&gt;="&amp;"2017-01-01",Causal_Event_Ledger!$A$2:$A$500,"&lt;="&amp;"2017-12-31",Causal_Event_Ledger!$G$2:$G$500,"hardware_failure")+COUNTIFS(Causal_Event_Ledger!$A$2:$A$500,"&gt;="&amp;"2017-01-01",Causal_Event_Ledger!$A$2:$A$500,"&lt;="&amp;"2017-12-31",Causal_Event_Ledger!$H$2:$H$500,"hardware_failure")</x:f>
        <x:v>0</x:v>
      </x:c>
      <x:c r="I3" s="11" t="n">
        <x:f>COUNTIFS(Causal_Event_Ledger!$A$2:$A$500,"&gt;="&amp;"2017-01-01",Causal_Event_Ledger!$A$2:$A$500,"&lt;="&amp;"2017-12-31",Causal_Event_Ledger!$G$2:$G$500,"software_failure")+COUNTIFS(Causal_Event_Ledger!$A$2:$A$500,"&gt;="&amp;"2017-01-01",Causal_Event_Ledger!$A$2:$A$500,"&lt;="&amp;"2017-12-31",Causal_Event_Ledger!$H$2:$H$500,"software_failure")</x:f>
        <x:v>0</x:v>
      </x:c>
      <x:c r="J3" s="11" t="n">
        <x:f>COUNTIFS(Causal_Event_Ledger!$A$2:$A$500,"&gt;="&amp;"2017-01-01",Causal_Event_Ledger!$A$2:$A$500,"&lt;="&amp;"2017-12-31",Causal_Event_Ledger!$G$2:$G$500,"gnss_jamming")+COUNTIFS(Causal_Event_Ledger!$A$2:$A$500,"&gt;="&amp;"2017-01-01",Causal_Event_Ledger!$A$2:$A$500,"&lt;="&amp;"2017-12-31",Causal_Event_Ledger!$H$2:$H$500,"gnss_jamming")</x:f>
        <x:v>0</x:v>
      </x:c>
      <x:c r="K3" s="11" t="n">
        <x:f>COUNTIFS(Causal_Event_Ledger!$A$2:$A$500,"&gt;="&amp;"2017-01-01",Causal_Event_Ledger!$A$2:$A$500,"&lt;="&amp;"2017-12-31",Causal_Event_Ledger!$G$2:$G$500,"gnss_spoofing")+COUNTIFS(Causal_Event_Ledger!$A$2:$A$500,"&gt;="&amp;"2017-01-01",Causal_Event_Ledger!$A$2:$A$500,"&lt;="&amp;"2017-12-31",Causal_Event_Ledger!$H$2:$H$500,"gnss_spoofing")</x:f>
        <x:v>0</x:v>
      </x:c>
      <x:c r="L3" s="11" t="n">
        <x:f>COUNTIFS(Causal_Event_Ledger!$A$2:$A$500,"&gt;="&amp;"2017-01-01",Causal_Event_Ledger!$A$2:$A$500,"&lt;="&amp;"2017-12-31",Causal_Event_Ledger!$G$2:$G$500,"unknown_investigation")+COUNTIFS(Causal_Event_Ledger!$A$2:$A$500,"&gt;="&amp;"2017-01-01",Causal_Event_Ledger!$A$2:$A$500,"&lt;="&amp;"2017-12-31",Causal_Event_Ledger!$H$2:$H$500,"unknown_investigation")</x:f>
        <x:v>0</x:v>
      </x:c>
      <x:c r="M3" s="11" t="n">
        <x:f>COUNTIFS(Causal_Event_Ledger!$A$2:$A$500,"&gt;="&amp;"2017-01-01",Causal_Event_Ledger!$A$2:$A$500,"&lt;="&amp;"2017-12-31")</x:f>
        <x:v>0</x:v>
      </x:c>
    </x:row>
    <x:row r="4">
      <x:c r="A4" s="11" t="n">
        <x:v>2018</x:v>
      </x:c>
      <x:c r="B4" s="11" t="n">
        <x:f>COUNTIFS(Causal_Event_Ledger!$A$2:$A$500,"&gt;="&amp;"2018-01-01",Causal_Event_Ledger!$A$2:$A$500,"&lt;="&amp;"2018-12-31",Causal_Event_Ledger!$G$2:$G$500,"comms_failure")+COUNTIFS(Causal_Event_Ledger!$A$2:$A$500,"&gt;="&amp;"2018-01-01",Causal_Event_Ledger!$A$2:$A$500,"&lt;="&amp;"2018-12-31",Causal_Event_Ledger!$H$2:$H$500,"comms_failure")</x:f>
        <x:v>0</x:v>
      </x:c>
      <x:c r="C4" s="11" t="n">
        <x:f>COUNTIFS(Causal_Event_Ledger!$A$2:$A$500,"&gt;="&amp;"2018-01-01",Causal_Event_Ledger!$A$2:$A$500,"&lt;="&amp;"2018-12-31",Causal_Event_Ledger!$G$2:$G$500,"surveillance_failure")+COUNTIFS(Causal_Event_Ledger!$A$2:$A$500,"&gt;="&amp;"2018-01-01",Causal_Event_Ledger!$A$2:$A$500,"&lt;="&amp;"2018-12-31",Causal_Event_Ledger!$H$2:$H$500,"surveillance_failure")</x:f>
        <x:v>0</x:v>
      </x:c>
      <x:c r="D4" s="11" t="n">
        <x:f>COUNTIFS(Causal_Event_Ledger!$A$2:$A$500,"&gt;="&amp;"2018-01-01",Causal_Event_Ledger!$A$2:$A$500,"&lt;="&amp;"2018-12-31",Causal_Event_Ledger!$G$2:$G$500,"flight_data_processing")+COUNTIFS(Causal_Event_Ledger!$A$2:$A$500,"&gt;="&amp;"2018-01-01",Causal_Event_Ledger!$A$2:$A$500,"&lt;="&amp;"2018-12-31",Causal_Event_Ledger!$H$2:$H$500,"flight_data_processing")</x:f>
        <x:v>0</x:v>
      </x:c>
      <x:c r="E4" s="11" t="n">
        <x:f>COUNTIFS(Causal_Event_Ledger!$A$2:$A$500,"&gt;="&amp;"2018-01-01",Causal_Event_Ledger!$A$2:$A$500,"&lt;="&amp;"2018-12-31",Causal_Event_Ledger!$G$2:$G$500,"datalink_cpdlc")+COUNTIFS(Causal_Event_Ledger!$A$2:$A$500,"&gt;="&amp;"2018-01-01",Causal_Event_Ledger!$A$2:$A$500,"&lt;="&amp;"2018-12-31",Causal_Event_Ledger!$H$2:$H$500,"datalink_cpdlc")</x:f>
        <x:v>0</x:v>
      </x:c>
      <x:c r="F4" s="11" t="n">
        <x:f>COUNTIFS(Causal_Event_Ledger!$A$2:$A$500,"&gt;="&amp;"2018-01-01",Causal_Event_Ledger!$A$2:$A$500,"&lt;="&amp;"2018-12-31",Causal_Event_Ledger!$G$2:$G$500,"network_connectivity")+COUNTIFS(Causal_Event_Ledger!$A$2:$A$500,"&gt;="&amp;"2018-01-01",Causal_Event_Ledger!$A$2:$A$500,"&lt;="&amp;"2018-12-31",Causal_Event_Ledger!$H$2:$H$500,"network_connectivity")</x:f>
        <x:v>0</x:v>
      </x:c>
      <x:c r="G4" s="11" t="n">
        <x:f>COUNTIFS(Causal_Event_Ledger!$A$2:$A$500,"&gt;="&amp;"2018-01-01",Causal_Event_Ledger!$A$2:$A$500,"&lt;="&amp;"2018-12-31",Causal_Event_Ledger!$G$2:$G$500,"power_failure")+COUNTIFS(Causal_Event_Ledger!$A$2:$A$500,"&gt;="&amp;"2018-01-01",Causal_Event_Ledger!$A$2:$A$500,"&lt;="&amp;"2018-12-31",Causal_Event_Ledger!$H$2:$H$500,"power_failure")</x:f>
        <x:v>0</x:v>
      </x:c>
      <x:c r="H4" s="11" t="n">
        <x:f>COUNTIFS(Causal_Event_Ledger!$A$2:$A$500,"&gt;="&amp;"2018-01-01",Causal_Event_Ledger!$A$2:$A$500,"&lt;="&amp;"2018-12-31",Causal_Event_Ledger!$G$2:$G$500,"hardware_failure")+COUNTIFS(Causal_Event_Ledger!$A$2:$A$500,"&gt;="&amp;"2018-01-01",Causal_Event_Ledger!$A$2:$A$500,"&lt;="&amp;"2018-12-31",Causal_Event_Ledger!$H$2:$H$500,"hardware_failure")</x:f>
        <x:v>1</x:v>
      </x:c>
      <x:c r="I4" s="11" t="n">
        <x:f>COUNTIFS(Causal_Event_Ledger!$A$2:$A$500,"&gt;="&amp;"2018-01-01",Causal_Event_Ledger!$A$2:$A$500,"&lt;="&amp;"2018-12-31",Causal_Event_Ledger!$G$2:$G$500,"software_failure")+COUNTIFS(Causal_Event_Ledger!$A$2:$A$500,"&gt;="&amp;"2018-01-01",Causal_Event_Ledger!$A$2:$A$500,"&lt;="&amp;"2018-12-31",Causal_Event_Ledger!$H$2:$H$500,"software_failure")</x:f>
        <x:v>0</x:v>
      </x:c>
      <x:c r="J4" s="11" t="n">
        <x:f>COUNTIFS(Causal_Event_Ledger!$A$2:$A$500,"&gt;="&amp;"2018-01-01",Causal_Event_Ledger!$A$2:$A$500,"&lt;="&amp;"2018-12-31",Causal_Event_Ledger!$G$2:$G$500,"gnss_jamming")+COUNTIFS(Causal_Event_Ledger!$A$2:$A$500,"&gt;="&amp;"2018-01-01",Causal_Event_Ledger!$A$2:$A$500,"&lt;="&amp;"2018-12-31",Causal_Event_Ledger!$H$2:$H$500,"gnss_jamming")</x:f>
        <x:v>0</x:v>
      </x:c>
      <x:c r="K4" s="11" t="n">
        <x:f>COUNTIFS(Causal_Event_Ledger!$A$2:$A$500,"&gt;="&amp;"2018-01-01",Causal_Event_Ledger!$A$2:$A$500,"&lt;="&amp;"2018-12-31",Causal_Event_Ledger!$G$2:$G$500,"gnss_spoofing")+COUNTIFS(Causal_Event_Ledger!$A$2:$A$500,"&gt;="&amp;"2018-01-01",Causal_Event_Ledger!$A$2:$A$500,"&lt;="&amp;"2018-12-31",Causal_Event_Ledger!$H$2:$H$500,"gnss_spoofing")</x:f>
        <x:v>0</x:v>
      </x:c>
      <x:c r="L4" s="11" t="n">
        <x:f>COUNTIFS(Causal_Event_Ledger!$A$2:$A$500,"&gt;="&amp;"2018-01-01",Causal_Event_Ledger!$A$2:$A$500,"&lt;="&amp;"2018-12-31",Causal_Event_Ledger!$G$2:$G$500,"unknown_investigation")+COUNTIFS(Causal_Event_Ledger!$A$2:$A$500,"&gt;="&amp;"2018-01-01",Causal_Event_Ledger!$A$2:$A$500,"&lt;="&amp;"2018-12-31",Causal_Event_Ledger!$H$2:$H$500,"unknown_investigation")</x:f>
        <x:v>0</x:v>
      </x:c>
      <x:c r="M4" s="11" t="n">
        <x:f>COUNTIFS(Causal_Event_Ledger!$A$2:$A$500,"&gt;="&amp;"2018-01-01",Causal_Event_Ledger!$A$2:$A$500,"&lt;="&amp;"2018-12-31")</x:f>
        <x:v>1</x:v>
      </x:c>
    </x:row>
    <x:row r="5">
      <x:c r="A5" s="11" t="n">
        <x:v>2019</x:v>
      </x:c>
      <x:c r="B5" s="11" t="n">
        <x:f>COUNTIFS(Causal_Event_Ledger!$A$2:$A$500,"&gt;="&amp;"2019-01-01",Causal_Event_Ledger!$A$2:$A$500,"&lt;="&amp;"2019-12-31",Causal_Event_Ledger!$G$2:$G$500,"comms_failure")+COUNTIFS(Causal_Event_Ledger!$A$2:$A$500,"&gt;="&amp;"2019-01-01",Causal_Event_Ledger!$A$2:$A$500,"&lt;="&amp;"2019-12-31",Causal_Event_Ledger!$H$2:$H$500,"comms_failure")</x:f>
        <x:v>0</x:v>
      </x:c>
      <x:c r="C5" s="11" t="n">
        <x:f>COUNTIFS(Causal_Event_Ledger!$A$2:$A$500,"&gt;="&amp;"2019-01-01",Causal_Event_Ledger!$A$2:$A$500,"&lt;="&amp;"2019-12-31",Causal_Event_Ledger!$G$2:$G$500,"surveillance_failure")+COUNTIFS(Causal_Event_Ledger!$A$2:$A$500,"&gt;="&amp;"2019-01-01",Causal_Event_Ledger!$A$2:$A$500,"&lt;="&amp;"2019-12-31",Causal_Event_Ledger!$H$2:$H$500,"surveillance_failure")</x:f>
        <x:v>0</x:v>
      </x:c>
      <x:c r="D5" s="11" t="n">
        <x:f>COUNTIFS(Causal_Event_Ledger!$A$2:$A$500,"&gt;="&amp;"2019-01-01",Causal_Event_Ledger!$A$2:$A$500,"&lt;="&amp;"2019-12-31",Causal_Event_Ledger!$G$2:$G$500,"flight_data_processing")+COUNTIFS(Causal_Event_Ledger!$A$2:$A$500,"&gt;="&amp;"2019-01-01",Causal_Event_Ledger!$A$2:$A$500,"&lt;="&amp;"2019-12-31",Causal_Event_Ledger!$H$2:$H$500,"flight_data_processing")</x:f>
        <x:v>0</x:v>
      </x:c>
      <x:c r="E5" s="11" t="n">
        <x:f>COUNTIFS(Causal_Event_Ledger!$A$2:$A$500,"&gt;="&amp;"2019-01-01",Causal_Event_Ledger!$A$2:$A$500,"&lt;="&amp;"2019-12-31",Causal_Event_Ledger!$G$2:$G$500,"datalink_cpdlc")+COUNTIFS(Causal_Event_Ledger!$A$2:$A$500,"&gt;="&amp;"2019-01-01",Causal_Event_Ledger!$A$2:$A$500,"&lt;="&amp;"2019-12-31",Causal_Event_Ledger!$H$2:$H$500,"datalink_cpdlc")</x:f>
        <x:v>0</x:v>
      </x:c>
      <x:c r="F5" s="11" t="n">
        <x:f>COUNTIFS(Causal_Event_Ledger!$A$2:$A$500,"&gt;="&amp;"2019-01-01",Causal_Event_Ledger!$A$2:$A$500,"&lt;="&amp;"2019-12-31",Causal_Event_Ledger!$G$2:$G$500,"network_connectivity")+COUNTIFS(Causal_Event_Ledger!$A$2:$A$500,"&gt;="&amp;"2019-01-01",Causal_Event_Ledger!$A$2:$A$500,"&lt;="&amp;"2019-12-31",Causal_Event_Ledger!$H$2:$H$500,"network_connectivity")</x:f>
        <x:v>0</x:v>
      </x:c>
      <x:c r="G5" s="11" t="n">
        <x:f>COUNTIFS(Causal_Event_Ledger!$A$2:$A$500,"&gt;="&amp;"2019-01-01",Causal_Event_Ledger!$A$2:$A$500,"&lt;="&amp;"2019-12-31",Causal_Event_Ledger!$G$2:$G$500,"power_failure")+COUNTIFS(Causal_Event_Ledger!$A$2:$A$500,"&gt;="&amp;"2019-01-01",Causal_Event_Ledger!$A$2:$A$500,"&lt;="&amp;"2019-12-31",Causal_Event_Ledger!$H$2:$H$500,"power_failure")</x:f>
        <x:v>0</x:v>
      </x:c>
      <x:c r="H5" s="11" t="n">
        <x:f>COUNTIFS(Causal_Event_Ledger!$A$2:$A$500,"&gt;="&amp;"2019-01-01",Causal_Event_Ledger!$A$2:$A$500,"&lt;="&amp;"2019-12-31",Causal_Event_Ledger!$G$2:$G$500,"hardware_failure")+COUNTIFS(Causal_Event_Ledger!$A$2:$A$500,"&gt;="&amp;"2019-01-01",Causal_Event_Ledger!$A$2:$A$500,"&lt;="&amp;"2019-12-31",Causal_Event_Ledger!$H$2:$H$500,"hardware_failure")</x:f>
        <x:v>0</x:v>
      </x:c>
      <x:c r="I5" s="11" t="n">
        <x:f>COUNTIFS(Causal_Event_Ledger!$A$2:$A$500,"&gt;="&amp;"2019-01-01",Causal_Event_Ledger!$A$2:$A$500,"&lt;="&amp;"2019-12-31",Causal_Event_Ledger!$G$2:$G$500,"software_failure")+COUNTIFS(Causal_Event_Ledger!$A$2:$A$500,"&gt;="&amp;"2019-01-01",Causal_Event_Ledger!$A$2:$A$500,"&lt;="&amp;"2019-12-31",Causal_Event_Ledger!$H$2:$H$500,"software_failure")</x:f>
        <x:v>0</x:v>
      </x:c>
      <x:c r="J5" s="11" t="n">
        <x:f>COUNTIFS(Causal_Event_Ledger!$A$2:$A$500,"&gt;="&amp;"2019-01-01",Causal_Event_Ledger!$A$2:$A$500,"&lt;="&amp;"2019-12-31",Causal_Event_Ledger!$G$2:$G$500,"gnss_jamming")+COUNTIFS(Causal_Event_Ledger!$A$2:$A$500,"&gt;="&amp;"2019-01-01",Causal_Event_Ledger!$A$2:$A$500,"&lt;="&amp;"2019-12-31",Causal_Event_Ledger!$H$2:$H$500,"gnss_jamming")</x:f>
        <x:v>0</x:v>
      </x:c>
      <x:c r="K5" s="11" t="n">
        <x:f>COUNTIFS(Causal_Event_Ledger!$A$2:$A$500,"&gt;="&amp;"2019-01-01",Causal_Event_Ledger!$A$2:$A$500,"&lt;="&amp;"2019-12-31",Causal_Event_Ledger!$G$2:$G$500,"gnss_spoofing")+COUNTIFS(Causal_Event_Ledger!$A$2:$A$500,"&gt;="&amp;"2019-01-01",Causal_Event_Ledger!$A$2:$A$500,"&lt;="&amp;"2019-12-31",Causal_Event_Ledger!$H$2:$H$500,"gnss_spoofing")</x:f>
        <x:v>0</x:v>
      </x:c>
      <x:c r="L5" s="11" t="n">
        <x:f>COUNTIFS(Causal_Event_Ledger!$A$2:$A$500,"&gt;="&amp;"2019-01-01",Causal_Event_Ledger!$A$2:$A$500,"&lt;="&amp;"2019-12-31",Causal_Event_Ledger!$G$2:$G$500,"unknown_investigation")+COUNTIFS(Causal_Event_Ledger!$A$2:$A$500,"&gt;="&amp;"2019-01-01",Causal_Event_Ledger!$A$2:$A$500,"&lt;="&amp;"2019-12-31",Causal_Event_Ledger!$H$2:$H$500,"unknown_investigation")</x:f>
        <x:v>0</x:v>
      </x:c>
      <x:c r="M5" s="11" t="n">
        <x:f>COUNTIFS(Causal_Event_Ledger!$A$2:$A$500,"&gt;="&amp;"2019-01-01",Causal_Event_Ledger!$A$2:$A$500,"&lt;="&amp;"2019-12-31")</x:f>
        <x:v>0</x:v>
      </x:c>
    </x:row>
    <x:row r="6">
      <x:c r="A6" s="11" t="n">
        <x:v>2020</x:v>
      </x:c>
      <x:c r="B6" s="11" t="n">
        <x:f>COUNTIFS(Causal_Event_Ledger!$A$2:$A$500,"&gt;="&amp;"2020-01-01",Causal_Event_Ledger!$A$2:$A$500,"&lt;="&amp;"2020-12-31",Causal_Event_Ledger!$G$2:$G$500,"comms_failure")+COUNTIFS(Causal_Event_Ledger!$A$2:$A$500,"&gt;="&amp;"2020-01-01",Causal_Event_Ledger!$A$2:$A$500,"&lt;="&amp;"2020-12-31",Causal_Event_Ledger!$H$2:$H$500,"comms_failure")</x:f>
        <x:v>0</x:v>
      </x:c>
      <x:c r="C6" s="11" t="n">
        <x:f>COUNTIFS(Causal_Event_Ledger!$A$2:$A$500,"&gt;="&amp;"2020-01-01",Causal_Event_Ledger!$A$2:$A$500,"&lt;="&amp;"2020-12-31",Causal_Event_Ledger!$G$2:$G$500,"surveillance_failure")+COUNTIFS(Causal_Event_Ledger!$A$2:$A$500,"&gt;="&amp;"2020-01-01",Causal_Event_Ledger!$A$2:$A$500,"&lt;="&amp;"2020-12-31",Causal_Event_Ledger!$H$2:$H$500,"surveillance_failure")</x:f>
        <x:v>0</x:v>
      </x:c>
      <x:c r="D6" s="11" t="n">
        <x:f>COUNTIFS(Causal_Event_Ledger!$A$2:$A$500,"&gt;="&amp;"2020-01-01",Causal_Event_Ledger!$A$2:$A$500,"&lt;="&amp;"2020-12-31",Causal_Event_Ledger!$G$2:$G$500,"flight_data_processing")+COUNTIFS(Causal_Event_Ledger!$A$2:$A$500,"&gt;="&amp;"2020-01-01",Causal_Event_Ledger!$A$2:$A$500,"&lt;="&amp;"2020-12-31",Causal_Event_Ledger!$H$2:$H$500,"flight_data_processing")</x:f>
        <x:v>0</x:v>
      </x:c>
      <x:c r="E6" s="11" t="n">
        <x:f>COUNTIFS(Causal_Event_Ledger!$A$2:$A$500,"&gt;="&amp;"2020-01-01",Causal_Event_Ledger!$A$2:$A$500,"&lt;="&amp;"2020-12-31",Causal_Event_Ledger!$G$2:$G$500,"datalink_cpdlc")+COUNTIFS(Causal_Event_Ledger!$A$2:$A$500,"&gt;="&amp;"2020-01-01",Causal_Event_Ledger!$A$2:$A$500,"&lt;="&amp;"2020-12-31",Causal_Event_Ledger!$H$2:$H$500,"datalink_cpdlc")</x:f>
        <x:v>0</x:v>
      </x:c>
      <x:c r="F6" s="11" t="n">
        <x:f>COUNTIFS(Causal_Event_Ledger!$A$2:$A$500,"&gt;="&amp;"2020-01-01",Causal_Event_Ledger!$A$2:$A$500,"&lt;="&amp;"2020-12-31",Causal_Event_Ledger!$G$2:$G$500,"network_connectivity")+COUNTIFS(Causal_Event_Ledger!$A$2:$A$500,"&gt;="&amp;"2020-01-01",Causal_Event_Ledger!$A$2:$A$500,"&lt;="&amp;"2020-12-31",Causal_Event_Ledger!$H$2:$H$500,"network_connectivity")</x:f>
        <x:v>0</x:v>
      </x:c>
      <x:c r="G6" s="11" t="n">
        <x:f>COUNTIFS(Causal_Event_Ledger!$A$2:$A$500,"&gt;="&amp;"2020-01-01",Causal_Event_Ledger!$A$2:$A$500,"&lt;="&amp;"2020-12-31",Causal_Event_Ledger!$G$2:$G$500,"power_failure")+COUNTIFS(Causal_Event_Ledger!$A$2:$A$500,"&gt;="&amp;"2020-01-01",Causal_Event_Ledger!$A$2:$A$500,"&lt;="&amp;"2020-12-31",Causal_Event_Ledger!$H$2:$H$500,"power_failure")</x:f>
        <x:v>0</x:v>
      </x:c>
      <x:c r="H6" s="11" t="n">
        <x:f>COUNTIFS(Causal_Event_Ledger!$A$2:$A$500,"&gt;="&amp;"2020-01-01",Causal_Event_Ledger!$A$2:$A$500,"&lt;="&amp;"2020-12-31",Causal_Event_Ledger!$G$2:$G$500,"hardware_failure")+COUNTIFS(Causal_Event_Ledger!$A$2:$A$500,"&gt;="&amp;"2020-01-01",Causal_Event_Ledger!$A$2:$A$500,"&lt;="&amp;"2020-12-31",Causal_Event_Ledger!$H$2:$H$500,"hardware_failure")</x:f>
        <x:v>0</x:v>
      </x:c>
      <x:c r="I6" s="11" t="n">
        <x:f>COUNTIFS(Causal_Event_Ledger!$A$2:$A$500,"&gt;="&amp;"2020-01-01",Causal_Event_Ledger!$A$2:$A$500,"&lt;="&amp;"2020-12-31",Causal_Event_Ledger!$G$2:$G$500,"software_failure")+COUNTIFS(Causal_Event_Ledger!$A$2:$A$500,"&gt;="&amp;"2020-01-01",Causal_Event_Ledger!$A$2:$A$500,"&lt;="&amp;"2020-12-31",Causal_Event_Ledger!$H$2:$H$500,"software_failure")</x:f>
        <x:v>0</x:v>
      </x:c>
      <x:c r="J6" s="11" t="n">
        <x:f>COUNTIFS(Causal_Event_Ledger!$A$2:$A$500,"&gt;="&amp;"2020-01-01",Causal_Event_Ledger!$A$2:$A$500,"&lt;="&amp;"2020-12-31",Causal_Event_Ledger!$G$2:$G$500,"gnss_jamming")+COUNTIFS(Causal_Event_Ledger!$A$2:$A$500,"&gt;="&amp;"2020-01-01",Causal_Event_Ledger!$A$2:$A$500,"&lt;="&amp;"2020-12-31",Causal_Event_Ledger!$H$2:$H$500,"gnss_jamming")</x:f>
        <x:v>0</x:v>
      </x:c>
      <x:c r="K6" s="11" t="n">
        <x:f>COUNTIFS(Causal_Event_Ledger!$A$2:$A$500,"&gt;="&amp;"2020-01-01",Causal_Event_Ledger!$A$2:$A$500,"&lt;="&amp;"2020-12-31",Causal_Event_Ledger!$G$2:$G$500,"gnss_spoofing")+COUNTIFS(Causal_Event_Ledger!$A$2:$A$500,"&gt;="&amp;"2020-01-01",Causal_Event_Ledger!$A$2:$A$500,"&lt;="&amp;"2020-12-31",Causal_Event_Ledger!$H$2:$H$500,"gnss_spoofing")</x:f>
        <x:v>0</x:v>
      </x:c>
      <x:c r="L6" s="11" t="n">
        <x:f>COUNTIFS(Causal_Event_Ledger!$A$2:$A$500,"&gt;="&amp;"2020-01-01",Causal_Event_Ledger!$A$2:$A$500,"&lt;="&amp;"2020-12-31",Causal_Event_Ledger!$G$2:$G$500,"unknown_investigation")+COUNTIFS(Causal_Event_Ledger!$A$2:$A$500,"&gt;="&amp;"2020-01-01",Causal_Event_Ledger!$A$2:$A$500,"&lt;="&amp;"2020-12-31",Causal_Event_Ledger!$H$2:$H$500,"unknown_investigation")</x:f>
        <x:v>0</x:v>
      </x:c>
      <x:c r="M6" s="11" t="n">
        <x:f>COUNTIFS(Causal_Event_Ledger!$A$2:$A$500,"&gt;="&amp;"2020-01-01",Causal_Event_Ledger!$A$2:$A$500,"&lt;="&amp;"2020-12-31")</x:f>
        <x:v>0</x:v>
      </x:c>
    </x:row>
    <x:row r="7">
      <x:c r="A7" s="11" t="n">
        <x:v>2021</x:v>
      </x:c>
      <x:c r="B7" s="11" t="n">
        <x:f>COUNTIFS(Causal_Event_Ledger!$A$2:$A$500,"&gt;="&amp;"2021-01-01",Causal_Event_Ledger!$A$2:$A$500,"&lt;="&amp;"2021-12-31",Causal_Event_Ledger!$G$2:$G$500,"comms_failure")+COUNTIFS(Causal_Event_Ledger!$A$2:$A$500,"&gt;="&amp;"2021-01-01",Causal_Event_Ledger!$A$2:$A$500,"&lt;="&amp;"2021-12-31",Causal_Event_Ledger!$H$2:$H$500,"comms_failure")</x:f>
        <x:v>0</x:v>
      </x:c>
      <x:c r="C7" s="11" t="n">
        <x:f>COUNTIFS(Causal_Event_Ledger!$A$2:$A$500,"&gt;="&amp;"2021-01-01",Causal_Event_Ledger!$A$2:$A$500,"&lt;="&amp;"2021-12-31",Causal_Event_Ledger!$G$2:$G$500,"surveillance_failure")+COUNTIFS(Causal_Event_Ledger!$A$2:$A$500,"&gt;="&amp;"2021-01-01",Causal_Event_Ledger!$A$2:$A$500,"&lt;="&amp;"2021-12-31",Causal_Event_Ledger!$H$2:$H$500,"surveillance_failure")</x:f>
        <x:v>0</x:v>
      </x:c>
      <x:c r="D7" s="11" t="n">
        <x:f>COUNTIFS(Causal_Event_Ledger!$A$2:$A$500,"&gt;="&amp;"2021-01-01",Causal_Event_Ledger!$A$2:$A$500,"&lt;="&amp;"2021-12-31",Causal_Event_Ledger!$G$2:$G$500,"flight_data_processing")+COUNTIFS(Causal_Event_Ledger!$A$2:$A$500,"&gt;="&amp;"2021-01-01",Causal_Event_Ledger!$A$2:$A$500,"&lt;="&amp;"2021-12-31",Causal_Event_Ledger!$H$2:$H$500,"flight_data_processing")</x:f>
        <x:v>0</x:v>
      </x:c>
      <x:c r="E7" s="11" t="n">
        <x:f>COUNTIFS(Causal_Event_Ledger!$A$2:$A$500,"&gt;="&amp;"2021-01-01",Causal_Event_Ledger!$A$2:$A$500,"&lt;="&amp;"2021-12-31",Causal_Event_Ledger!$G$2:$G$500,"datalink_cpdlc")+COUNTIFS(Causal_Event_Ledger!$A$2:$A$500,"&gt;="&amp;"2021-01-01",Causal_Event_Ledger!$A$2:$A$500,"&lt;="&amp;"2021-12-31",Causal_Event_Ledger!$H$2:$H$500,"datalink_cpdlc")</x:f>
        <x:v>0</x:v>
      </x:c>
      <x:c r="F7" s="11" t="n">
        <x:f>COUNTIFS(Causal_Event_Ledger!$A$2:$A$500,"&gt;="&amp;"2021-01-01",Causal_Event_Ledger!$A$2:$A$500,"&lt;="&amp;"2021-12-31",Causal_Event_Ledger!$G$2:$G$500,"network_connectivity")+COUNTIFS(Causal_Event_Ledger!$A$2:$A$500,"&gt;="&amp;"2021-01-01",Causal_Event_Ledger!$A$2:$A$500,"&lt;="&amp;"2021-12-31",Causal_Event_Ledger!$H$2:$H$500,"network_connectivity")</x:f>
        <x:v>0</x:v>
      </x:c>
      <x:c r="G7" s="11" t="n">
        <x:f>COUNTIFS(Causal_Event_Ledger!$A$2:$A$500,"&gt;="&amp;"2021-01-01",Causal_Event_Ledger!$A$2:$A$500,"&lt;="&amp;"2021-12-31",Causal_Event_Ledger!$G$2:$G$500,"power_failure")+COUNTIFS(Causal_Event_Ledger!$A$2:$A$500,"&gt;="&amp;"2021-01-01",Causal_Event_Ledger!$A$2:$A$500,"&lt;="&amp;"2021-12-31",Causal_Event_Ledger!$H$2:$H$500,"power_failure")</x:f>
        <x:v>0</x:v>
      </x:c>
      <x:c r="H7" s="11" t="n">
        <x:f>COUNTIFS(Causal_Event_Ledger!$A$2:$A$500,"&gt;="&amp;"2021-01-01",Causal_Event_Ledger!$A$2:$A$500,"&lt;="&amp;"2021-12-31",Causal_Event_Ledger!$G$2:$G$500,"hardware_failure")+COUNTIFS(Causal_Event_Ledger!$A$2:$A$500,"&gt;="&amp;"2021-01-01",Causal_Event_Ledger!$A$2:$A$500,"&lt;="&amp;"2021-12-31",Causal_Event_Ledger!$H$2:$H$500,"hardware_failure")</x:f>
        <x:v>0</x:v>
      </x:c>
      <x:c r="I7" s="11" t="n">
        <x:f>COUNTIFS(Causal_Event_Ledger!$A$2:$A$500,"&gt;="&amp;"2021-01-01",Causal_Event_Ledger!$A$2:$A$500,"&lt;="&amp;"2021-12-31",Causal_Event_Ledger!$G$2:$G$500,"software_failure")+COUNTIFS(Causal_Event_Ledger!$A$2:$A$500,"&gt;="&amp;"2021-01-01",Causal_Event_Ledger!$A$2:$A$500,"&lt;="&amp;"2021-12-31",Causal_Event_Ledger!$H$2:$H$500,"software_failure")</x:f>
        <x:v>0</x:v>
      </x:c>
      <x:c r="J7" s="11" t="n">
        <x:f>COUNTIFS(Causal_Event_Ledger!$A$2:$A$500,"&gt;="&amp;"2021-01-01",Causal_Event_Ledger!$A$2:$A$500,"&lt;="&amp;"2021-12-31",Causal_Event_Ledger!$G$2:$G$500,"gnss_jamming")+COUNTIFS(Causal_Event_Ledger!$A$2:$A$500,"&gt;="&amp;"2021-01-01",Causal_Event_Ledger!$A$2:$A$500,"&lt;="&amp;"2021-12-31",Causal_Event_Ledger!$H$2:$H$500,"gnss_jamming")</x:f>
        <x:v>0</x:v>
      </x:c>
      <x:c r="K7" s="11" t="n">
        <x:f>COUNTIFS(Causal_Event_Ledger!$A$2:$A$500,"&gt;="&amp;"2021-01-01",Causal_Event_Ledger!$A$2:$A$500,"&lt;="&amp;"2021-12-31",Causal_Event_Ledger!$G$2:$G$500,"gnss_spoofing")+COUNTIFS(Causal_Event_Ledger!$A$2:$A$500,"&gt;="&amp;"2021-01-01",Causal_Event_Ledger!$A$2:$A$500,"&lt;="&amp;"2021-12-31",Causal_Event_Ledger!$H$2:$H$500,"gnss_spoofing")</x:f>
        <x:v>0</x:v>
      </x:c>
      <x:c r="L7" s="11" t="n">
        <x:f>COUNTIFS(Causal_Event_Ledger!$A$2:$A$500,"&gt;="&amp;"2021-01-01",Causal_Event_Ledger!$A$2:$A$500,"&lt;="&amp;"2021-12-31",Causal_Event_Ledger!$G$2:$G$500,"unknown_investigation")+COUNTIFS(Causal_Event_Ledger!$A$2:$A$500,"&gt;="&amp;"2021-01-01",Causal_Event_Ledger!$A$2:$A$500,"&lt;="&amp;"2021-12-31",Causal_Event_Ledger!$H$2:$H$500,"unknown_investigation")</x:f>
        <x:v>0</x:v>
      </x:c>
      <x:c r="M7" s="11" t="n">
        <x:f>COUNTIFS(Causal_Event_Ledger!$A$2:$A$500,"&gt;="&amp;"2021-01-01",Causal_Event_Ledger!$A$2:$A$500,"&lt;="&amp;"2021-12-31")</x:f>
        <x:v>0</x:v>
      </x:c>
    </x:row>
    <x:row r="8">
      <x:c r="A8" s="11" t="n">
        <x:v>2022</x:v>
      </x:c>
      <x:c r="B8" s="11" t="n">
        <x:f>COUNTIFS(Causal_Event_Ledger!$A$2:$A$500,"&gt;="&amp;"2022-01-01",Causal_Event_Ledger!$A$2:$A$500,"&lt;="&amp;"2022-12-31",Causal_Event_Ledger!$G$2:$G$500,"comms_failure")+COUNTIFS(Causal_Event_Ledger!$A$2:$A$500,"&gt;="&amp;"2022-01-01",Causal_Event_Ledger!$A$2:$A$500,"&lt;="&amp;"2022-12-31",Causal_Event_Ledger!$H$2:$H$500,"comms_failure")</x:f>
        <x:v>0</x:v>
      </x:c>
      <x:c r="C8" s="11" t="n">
        <x:f>COUNTIFS(Causal_Event_Ledger!$A$2:$A$500,"&gt;="&amp;"2022-01-01",Causal_Event_Ledger!$A$2:$A$500,"&lt;="&amp;"2022-12-31",Causal_Event_Ledger!$G$2:$G$500,"surveillance_failure")+COUNTIFS(Causal_Event_Ledger!$A$2:$A$500,"&gt;="&amp;"2022-01-01",Causal_Event_Ledger!$A$2:$A$500,"&lt;="&amp;"2022-12-31",Causal_Event_Ledger!$H$2:$H$500,"surveillance_failure")</x:f>
        <x:v>0</x:v>
      </x:c>
      <x:c r="D8" s="11" t="n">
        <x:f>COUNTIFS(Causal_Event_Ledger!$A$2:$A$500,"&gt;="&amp;"2022-01-01",Causal_Event_Ledger!$A$2:$A$500,"&lt;="&amp;"2022-12-31",Causal_Event_Ledger!$G$2:$G$500,"flight_data_processing")+COUNTIFS(Causal_Event_Ledger!$A$2:$A$500,"&gt;="&amp;"2022-01-01",Causal_Event_Ledger!$A$2:$A$500,"&lt;="&amp;"2022-12-31",Causal_Event_Ledger!$H$2:$H$500,"flight_data_processing")</x:f>
        <x:v>0</x:v>
      </x:c>
      <x:c r="E8" s="11" t="n">
        <x:f>COUNTIFS(Causal_Event_Ledger!$A$2:$A$500,"&gt;="&amp;"2022-01-01",Causal_Event_Ledger!$A$2:$A$500,"&lt;="&amp;"2022-12-31",Causal_Event_Ledger!$G$2:$G$500,"datalink_cpdlc")+COUNTIFS(Causal_Event_Ledger!$A$2:$A$500,"&gt;="&amp;"2022-01-01",Causal_Event_Ledger!$A$2:$A$500,"&lt;="&amp;"2022-12-31",Causal_Event_Ledger!$H$2:$H$500,"datalink_cpdlc")</x:f>
        <x:v>0</x:v>
      </x:c>
      <x:c r="F8" s="11" t="n">
        <x:f>COUNTIFS(Causal_Event_Ledger!$A$2:$A$500,"&gt;="&amp;"2022-01-01",Causal_Event_Ledger!$A$2:$A$500,"&lt;="&amp;"2022-12-31",Causal_Event_Ledger!$G$2:$G$500,"network_connectivity")+COUNTIFS(Causal_Event_Ledger!$A$2:$A$500,"&gt;="&amp;"2022-01-01",Causal_Event_Ledger!$A$2:$A$500,"&lt;="&amp;"2022-12-31",Causal_Event_Ledger!$H$2:$H$500,"network_connectivity")</x:f>
        <x:v>0</x:v>
      </x:c>
      <x:c r="G8" s="11" t="n">
        <x:f>COUNTIFS(Causal_Event_Ledger!$A$2:$A$500,"&gt;="&amp;"2022-01-01",Causal_Event_Ledger!$A$2:$A$500,"&lt;="&amp;"2022-12-31",Causal_Event_Ledger!$G$2:$G$500,"power_failure")+COUNTIFS(Causal_Event_Ledger!$A$2:$A$500,"&gt;="&amp;"2022-01-01",Causal_Event_Ledger!$A$2:$A$500,"&lt;="&amp;"2022-12-31",Causal_Event_Ledger!$H$2:$H$500,"power_failure")</x:f>
        <x:v>0</x:v>
      </x:c>
      <x:c r="H8" s="11" t="n">
        <x:f>COUNTIFS(Causal_Event_Ledger!$A$2:$A$500,"&gt;="&amp;"2022-01-01",Causal_Event_Ledger!$A$2:$A$500,"&lt;="&amp;"2022-12-31",Causal_Event_Ledger!$G$2:$G$500,"hardware_failure")+COUNTIFS(Causal_Event_Ledger!$A$2:$A$500,"&gt;="&amp;"2022-01-01",Causal_Event_Ledger!$A$2:$A$500,"&lt;="&amp;"2022-12-31",Causal_Event_Ledger!$H$2:$H$500,"hardware_failure")</x:f>
        <x:v>0</x:v>
      </x:c>
      <x:c r="I8" s="11" t="n">
        <x:f>COUNTIFS(Causal_Event_Ledger!$A$2:$A$500,"&gt;="&amp;"2022-01-01",Causal_Event_Ledger!$A$2:$A$500,"&lt;="&amp;"2022-12-31",Causal_Event_Ledger!$G$2:$G$500,"software_failure")+COUNTIFS(Causal_Event_Ledger!$A$2:$A$500,"&gt;="&amp;"2022-01-01",Causal_Event_Ledger!$A$2:$A$500,"&lt;="&amp;"2022-12-31",Causal_Event_Ledger!$H$2:$H$500,"software_failure")</x:f>
        <x:v>0</x:v>
      </x:c>
      <x:c r="J8" s="11" t="n">
        <x:f>COUNTIFS(Causal_Event_Ledger!$A$2:$A$500,"&gt;="&amp;"2022-01-01",Causal_Event_Ledger!$A$2:$A$500,"&lt;="&amp;"2022-12-31",Causal_Event_Ledger!$G$2:$G$500,"gnss_jamming")+COUNTIFS(Causal_Event_Ledger!$A$2:$A$500,"&gt;="&amp;"2022-01-01",Causal_Event_Ledger!$A$2:$A$500,"&lt;="&amp;"2022-12-31",Causal_Event_Ledger!$H$2:$H$500,"gnss_jamming")</x:f>
        <x:v>0</x:v>
      </x:c>
      <x:c r="K8" s="11" t="n">
        <x:f>COUNTIFS(Causal_Event_Ledger!$A$2:$A$500,"&gt;="&amp;"2022-01-01",Causal_Event_Ledger!$A$2:$A$500,"&lt;="&amp;"2022-12-31",Causal_Event_Ledger!$G$2:$G$500,"gnss_spoofing")+COUNTIFS(Causal_Event_Ledger!$A$2:$A$500,"&gt;="&amp;"2022-01-01",Causal_Event_Ledger!$A$2:$A$500,"&lt;="&amp;"2022-12-31",Causal_Event_Ledger!$H$2:$H$500,"gnss_spoofing")</x:f>
        <x:v>0</x:v>
      </x:c>
      <x:c r="L8" s="11" t="n">
        <x:f>COUNTIFS(Causal_Event_Ledger!$A$2:$A$500,"&gt;="&amp;"2022-01-01",Causal_Event_Ledger!$A$2:$A$500,"&lt;="&amp;"2022-12-31",Causal_Event_Ledger!$G$2:$G$500,"unknown_investigation")+COUNTIFS(Causal_Event_Ledger!$A$2:$A$500,"&gt;="&amp;"2022-01-01",Causal_Event_Ledger!$A$2:$A$500,"&lt;="&amp;"2022-12-31",Causal_Event_Ledger!$H$2:$H$500,"unknown_investigation")</x:f>
        <x:v>0</x:v>
      </x:c>
      <x:c r="M8" s="11" t="n">
        <x:f>COUNTIFS(Causal_Event_Ledger!$A$2:$A$500,"&gt;="&amp;"2022-01-01",Causal_Event_Ledger!$A$2:$A$500,"&lt;="&amp;"2022-12-31")</x:f>
        <x:v>0</x:v>
      </x:c>
    </x:row>
    <x:row r="9">
      <x:c r="A9" s="11" t="n">
        <x:v>2023</x:v>
      </x:c>
      <x:c r="B9" s="11" t="n">
        <x:f>COUNTIFS(Causal_Event_Ledger!$A$2:$A$500,"&gt;="&amp;"2023-01-01",Causal_Event_Ledger!$A$2:$A$500,"&lt;="&amp;"2023-12-31",Causal_Event_Ledger!$G$2:$G$500,"comms_failure")+COUNTIFS(Causal_Event_Ledger!$A$2:$A$500,"&gt;="&amp;"2023-01-01",Causal_Event_Ledger!$A$2:$A$500,"&lt;="&amp;"2023-12-31",Causal_Event_Ledger!$H$2:$H$500,"comms_failure")</x:f>
        <x:v>0</x:v>
      </x:c>
      <x:c r="C9" s="11" t="n">
        <x:f>COUNTIFS(Causal_Event_Ledger!$A$2:$A$500,"&gt;="&amp;"2023-01-01",Causal_Event_Ledger!$A$2:$A$500,"&lt;="&amp;"2023-12-31",Causal_Event_Ledger!$G$2:$G$500,"surveillance_failure")+COUNTIFS(Causal_Event_Ledger!$A$2:$A$500,"&gt;="&amp;"2023-01-01",Causal_Event_Ledger!$A$2:$A$500,"&lt;="&amp;"2023-12-31",Causal_Event_Ledger!$H$2:$H$500,"surveillance_failure")</x:f>
        <x:v>2</x:v>
      </x:c>
      <x:c r="D9" s="11" t="n">
        <x:f>COUNTIFS(Causal_Event_Ledger!$A$2:$A$500,"&gt;="&amp;"2023-01-01",Causal_Event_Ledger!$A$2:$A$500,"&lt;="&amp;"2023-12-31",Causal_Event_Ledger!$G$2:$G$500,"flight_data_processing")+COUNTIFS(Causal_Event_Ledger!$A$2:$A$500,"&gt;="&amp;"2023-01-01",Causal_Event_Ledger!$A$2:$A$500,"&lt;="&amp;"2023-12-31",Causal_Event_Ledger!$H$2:$H$500,"flight_data_processing")</x:f>
        <x:v>3</x:v>
      </x:c>
      <x:c r="E9" s="11" t="n">
        <x:f>COUNTIFS(Causal_Event_Ledger!$A$2:$A$500,"&gt;="&amp;"2023-01-01",Causal_Event_Ledger!$A$2:$A$500,"&lt;="&amp;"2023-12-31",Causal_Event_Ledger!$G$2:$G$500,"datalink_cpdlc")+COUNTIFS(Causal_Event_Ledger!$A$2:$A$500,"&gt;="&amp;"2023-01-01",Causal_Event_Ledger!$A$2:$A$500,"&lt;="&amp;"2023-12-31",Causal_Event_Ledger!$H$2:$H$500,"datalink_cpdlc")</x:f>
        <x:v>0</x:v>
      </x:c>
      <x:c r="F9" s="11" t="n">
        <x:f>COUNTIFS(Causal_Event_Ledger!$A$2:$A$500,"&gt;="&amp;"2023-01-01",Causal_Event_Ledger!$A$2:$A$500,"&lt;="&amp;"2023-12-31",Causal_Event_Ledger!$G$2:$G$500,"network_connectivity")+COUNTIFS(Causal_Event_Ledger!$A$2:$A$500,"&gt;="&amp;"2023-01-01",Causal_Event_Ledger!$A$2:$A$500,"&lt;="&amp;"2023-12-31",Causal_Event_Ledger!$H$2:$H$500,"network_connectivity")</x:f>
        <x:v>1</x:v>
      </x:c>
      <x:c r="G9" s="11" t="n">
        <x:f>COUNTIFS(Causal_Event_Ledger!$A$2:$A$500,"&gt;="&amp;"2023-01-01",Causal_Event_Ledger!$A$2:$A$500,"&lt;="&amp;"2023-12-31",Causal_Event_Ledger!$G$2:$G$500,"power_failure")+COUNTIFS(Causal_Event_Ledger!$A$2:$A$500,"&gt;="&amp;"2023-01-01",Causal_Event_Ledger!$A$2:$A$500,"&lt;="&amp;"2023-12-31",Causal_Event_Ledger!$H$2:$H$500,"power_failure")</x:f>
        <x:v>0</x:v>
      </x:c>
      <x:c r="H9" s="11" t="n">
        <x:f>COUNTIFS(Causal_Event_Ledger!$A$2:$A$500,"&gt;="&amp;"2023-01-01",Causal_Event_Ledger!$A$2:$A$500,"&lt;="&amp;"2023-12-31",Causal_Event_Ledger!$G$2:$G$500,"hardware_failure")+COUNTIFS(Causal_Event_Ledger!$A$2:$A$500,"&gt;="&amp;"2023-01-01",Causal_Event_Ledger!$A$2:$A$500,"&lt;="&amp;"2023-12-31",Causal_Event_Ledger!$H$2:$H$500,"hardware_failure")</x:f>
        <x:v>3</x:v>
      </x:c>
      <x:c r="I9" s="11" t="n">
        <x:f>COUNTIFS(Causal_Event_Ledger!$A$2:$A$500,"&gt;="&amp;"2023-01-01",Causal_Event_Ledger!$A$2:$A$500,"&lt;="&amp;"2023-12-31",Causal_Event_Ledger!$G$2:$G$500,"software_failure")+COUNTIFS(Causal_Event_Ledger!$A$2:$A$500,"&gt;="&amp;"2023-01-01",Causal_Event_Ledger!$A$2:$A$500,"&lt;="&amp;"2023-12-31",Causal_Event_Ledger!$H$2:$H$500,"software_failure")</x:f>
        <x:v>0</x:v>
      </x:c>
      <x:c r="J9" s="11" t="n">
        <x:f>COUNTIFS(Causal_Event_Ledger!$A$2:$A$500,"&gt;="&amp;"2023-01-01",Causal_Event_Ledger!$A$2:$A$500,"&lt;="&amp;"2023-12-31",Causal_Event_Ledger!$G$2:$G$500,"gnss_jamming")+COUNTIFS(Causal_Event_Ledger!$A$2:$A$500,"&gt;="&amp;"2023-01-01",Causal_Event_Ledger!$A$2:$A$500,"&lt;="&amp;"2023-12-31",Causal_Event_Ledger!$H$2:$H$500,"gnss_jamming")</x:f>
        <x:v>0</x:v>
      </x:c>
      <x:c r="K9" s="11" t="n">
        <x:f>COUNTIFS(Causal_Event_Ledger!$A$2:$A$500,"&gt;="&amp;"2023-01-01",Causal_Event_Ledger!$A$2:$A$500,"&lt;="&amp;"2023-12-31",Causal_Event_Ledger!$G$2:$G$500,"gnss_spoofing")+COUNTIFS(Causal_Event_Ledger!$A$2:$A$500,"&gt;="&amp;"2023-01-01",Causal_Event_Ledger!$A$2:$A$500,"&lt;="&amp;"2023-12-31",Causal_Event_Ledger!$H$2:$H$500,"gnss_spoofing")</x:f>
        <x:v>0</x:v>
      </x:c>
      <x:c r="L9" s="11" t="n">
        <x:f>COUNTIFS(Causal_Event_Ledger!$A$2:$A$500,"&gt;="&amp;"2023-01-01",Causal_Event_Ledger!$A$2:$A$500,"&lt;="&amp;"2023-12-31",Causal_Event_Ledger!$G$2:$G$500,"unknown_investigation")+COUNTIFS(Causal_Event_Ledger!$A$2:$A$500,"&gt;="&amp;"2023-01-01",Causal_Event_Ledger!$A$2:$A$500,"&lt;="&amp;"2023-12-31",Causal_Event_Ledger!$H$2:$H$500,"unknown_investigation")</x:f>
        <x:v>0</x:v>
      </x:c>
      <x:c r="M9" s="11" t="n">
        <x:f>COUNTIFS(Causal_Event_Ledger!$A$2:$A$500,"&gt;="&amp;"2023-01-01",Causal_Event_Ledger!$A$2:$A$500,"&lt;="&amp;"2023-12-31")</x:f>
        <x:v>9</x:v>
      </x:c>
    </x:row>
    <x:row r="10">
      <x:c r="A10" s="11" t="n">
        <x:v>2024</x:v>
      </x:c>
      <x:c r="B10" s="11" t="n">
        <x:f>COUNTIFS(Causal_Event_Ledger!$A$2:$A$500,"&gt;="&amp;"2024-01-01",Causal_Event_Ledger!$A$2:$A$500,"&lt;="&amp;"2024-12-31",Causal_Event_Ledger!$G$2:$G$500,"comms_failure")+COUNTIFS(Causal_Event_Ledger!$A$2:$A$500,"&gt;="&amp;"2024-01-01",Causal_Event_Ledger!$A$2:$A$500,"&lt;="&amp;"2024-12-31",Causal_Event_Ledger!$H$2:$H$500,"comms_failure")</x:f>
        <x:v>4</x:v>
      </x:c>
      <x:c r="C10" s="11" t="n">
        <x:f>COUNTIFS(Causal_Event_Ledger!$A$2:$A$500,"&gt;="&amp;"2024-01-01",Causal_Event_Ledger!$A$2:$A$500,"&lt;="&amp;"2024-12-31",Causal_Event_Ledger!$G$2:$G$500,"surveillance_failure")+COUNTIFS(Causal_Event_Ledger!$A$2:$A$500,"&gt;="&amp;"2024-01-01",Causal_Event_Ledger!$A$2:$A$500,"&lt;="&amp;"2024-12-31",Causal_Event_Ledger!$H$2:$H$500,"surveillance_failure")</x:f>
        <x:v>1</x:v>
      </x:c>
      <x:c r="D10" s="11" t="n">
        <x:f>COUNTIFS(Causal_Event_Ledger!$A$2:$A$500,"&gt;="&amp;"2024-01-01",Causal_Event_Ledger!$A$2:$A$500,"&lt;="&amp;"2024-12-31",Causal_Event_Ledger!$G$2:$G$500,"flight_data_processing")+COUNTIFS(Causal_Event_Ledger!$A$2:$A$500,"&gt;="&amp;"2024-01-01",Causal_Event_Ledger!$A$2:$A$500,"&lt;="&amp;"2024-12-31",Causal_Event_Ledger!$H$2:$H$500,"flight_data_processing")</x:f>
        <x:v>2</x:v>
      </x:c>
      <x:c r="E10" s="11" t="n">
        <x:f>COUNTIFS(Causal_Event_Ledger!$A$2:$A$500,"&gt;="&amp;"2024-01-01",Causal_Event_Ledger!$A$2:$A$500,"&lt;="&amp;"2024-12-31",Causal_Event_Ledger!$G$2:$G$500,"datalink_cpdlc")+COUNTIFS(Causal_Event_Ledger!$A$2:$A$500,"&gt;="&amp;"2024-01-01",Causal_Event_Ledger!$A$2:$A$500,"&lt;="&amp;"2024-12-31",Causal_Event_Ledger!$H$2:$H$500,"datalink_cpdlc")</x:f>
        <x:v>3</x:v>
      </x:c>
      <x:c r="F10" s="11" t="n">
        <x:f>COUNTIFS(Causal_Event_Ledger!$A$2:$A$500,"&gt;="&amp;"2024-01-01",Causal_Event_Ledger!$A$2:$A$500,"&lt;="&amp;"2024-12-31",Causal_Event_Ledger!$G$2:$G$500,"network_connectivity")+COUNTIFS(Causal_Event_Ledger!$A$2:$A$500,"&gt;="&amp;"2024-01-01",Causal_Event_Ledger!$A$2:$A$500,"&lt;="&amp;"2024-12-31",Causal_Event_Ledger!$H$2:$H$500,"network_connectivity")</x:f>
        <x:v>0</x:v>
      </x:c>
      <x:c r="G10" s="11" t="n">
        <x:f>COUNTIFS(Causal_Event_Ledger!$A$2:$A$500,"&gt;="&amp;"2024-01-01",Causal_Event_Ledger!$A$2:$A$500,"&lt;="&amp;"2024-12-31",Causal_Event_Ledger!$G$2:$G$500,"power_failure")+COUNTIFS(Causal_Event_Ledger!$A$2:$A$500,"&gt;="&amp;"2024-01-01",Causal_Event_Ledger!$A$2:$A$500,"&lt;="&amp;"2024-12-31",Causal_Event_Ledger!$H$2:$H$500,"power_failure")</x:f>
        <x:v>1</x:v>
      </x:c>
      <x:c r="H10" s="11" t="n">
        <x:f>COUNTIFS(Causal_Event_Ledger!$A$2:$A$500,"&gt;="&amp;"2024-01-01",Causal_Event_Ledger!$A$2:$A$500,"&lt;="&amp;"2024-12-31",Causal_Event_Ledger!$G$2:$G$500,"hardware_failure")+COUNTIFS(Causal_Event_Ledger!$A$2:$A$500,"&gt;="&amp;"2024-01-01",Causal_Event_Ledger!$A$2:$A$500,"&lt;="&amp;"2024-12-31",Causal_Event_Ledger!$H$2:$H$500,"hardware_failure")</x:f>
        <x:v>2</x:v>
      </x:c>
      <x:c r="I10" s="11" t="n">
        <x:f>COUNTIFS(Causal_Event_Ledger!$A$2:$A$500,"&gt;="&amp;"2024-01-01",Causal_Event_Ledger!$A$2:$A$500,"&lt;="&amp;"2024-12-31",Causal_Event_Ledger!$G$2:$G$500,"software_failure")+COUNTIFS(Causal_Event_Ledger!$A$2:$A$500,"&gt;="&amp;"2024-01-01",Causal_Event_Ledger!$A$2:$A$500,"&lt;="&amp;"2024-12-31",Causal_Event_Ledger!$H$2:$H$500,"software_failure")</x:f>
        <x:v>1</x:v>
      </x:c>
      <x:c r="J10" s="11" t="n">
        <x:f>COUNTIFS(Causal_Event_Ledger!$A$2:$A$500,"&gt;="&amp;"2024-01-01",Causal_Event_Ledger!$A$2:$A$500,"&lt;="&amp;"2024-12-31",Causal_Event_Ledger!$G$2:$G$500,"gnss_jamming")+COUNTIFS(Causal_Event_Ledger!$A$2:$A$500,"&gt;="&amp;"2024-01-01",Causal_Event_Ledger!$A$2:$A$500,"&lt;="&amp;"2024-12-31",Causal_Event_Ledger!$H$2:$H$500,"gnss_jamming")</x:f>
        <x:v>0</x:v>
      </x:c>
      <x:c r="K10" s="11" t="n">
        <x:f>COUNTIFS(Causal_Event_Ledger!$A$2:$A$500,"&gt;="&amp;"2024-01-01",Causal_Event_Ledger!$A$2:$A$500,"&lt;="&amp;"2024-12-31",Causal_Event_Ledger!$G$2:$G$500,"gnss_spoofing")+COUNTIFS(Causal_Event_Ledger!$A$2:$A$500,"&gt;="&amp;"2024-01-01",Causal_Event_Ledger!$A$2:$A$500,"&lt;="&amp;"2024-12-31",Causal_Event_Ledger!$H$2:$H$500,"gnss_spoofing")</x:f>
        <x:v>0</x:v>
      </x:c>
      <x:c r="L10" s="11" t="n">
        <x:f>COUNTIFS(Causal_Event_Ledger!$A$2:$A$500,"&gt;="&amp;"2024-01-01",Causal_Event_Ledger!$A$2:$A$500,"&lt;="&amp;"2024-12-31",Causal_Event_Ledger!$G$2:$G$500,"unknown_investigation")+COUNTIFS(Causal_Event_Ledger!$A$2:$A$500,"&gt;="&amp;"2024-01-01",Causal_Event_Ledger!$A$2:$A$500,"&lt;="&amp;"2024-12-31",Causal_Event_Ledger!$H$2:$H$500,"unknown_investigation")</x:f>
        <x:v>0</x:v>
      </x:c>
      <x:c r="M10" s="11" t="n">
        <x:f>COUNTIFS(Causal_Event_Ledger!$A$2:$A$500,"&gt;="&amp;"2024-01-01",Causal_Event_Ledger!$A$2:$A$500,"&lt;="&amp;"2024-12-31")</x:f>
        <x:v>14</x:v>
      </x:c>
    </x:row>
    <x:row r="11">
      <x:c r="A11" s="11" t="n">
        <x:v>2025</x:v>
      </x:c>
      <x:c r="B11" s="11" t="n">
        <x:f>COUNTIFS(Causal_Event_Ledger!$A$2:$A$500,"&gt;="&amp;"2025-01-01",Causal_Event_Ledger!$A$2:$A$500,"&lt;="&amp;"2025-12-31",Causal_Event_Ledger!$G$2:$G$500,"comms_failure")+COUNTIFS(Causal_Event_Ledger!$A$2:$A$500,"&gt;="&amp;"2025-01-01",Causal_Event_Ledger!$A$2:$A$500,"&lt;="&amp;"2025-12-31",Causal_Event_Ledger!$H$2:$H$500,"comms_failure")</x:f>
        <x:v>0</x:v>
      </x:c>
      <x:c r="C11" s="11" t="n">
        <x:f>COUNTIFS(Causal_Event_Ledger!$A$2:$A$500,"&gt;="&amp;"2025-01-01",Causal_Event_Ledger!$A$2:$A$500,"&lt;="&amp;"2025-12-31",Causal_Event_Ledger!$G$2:$G$500,"surveillance_failure")+COUNTIFS(Causal_Event_Ledger!$A$2:$A$500,"&gt;="&amp;"2025-01-01",Causal_Event_Ledger!$A$2:$A$500,"&lt;="&amp;"2025-12-31",Causal_Event_Ledger!$H$2:$H$500,"surveillance_failure")</x:f>
        <x:v>0</x:v>
      </x:c>
      <x:c r="D11" s="11" t="n">
        <x:f>COUNTIFS(Causal_Event_Ledger!$A$2:$A$500,"&gt;="&amp;"2025-01-01",Causal_Event_Ledger!$A$2:$A$500,"&lt;="&amp;"2025-12-31",Causal_Event_Ledger!$G$2:$G$500,"flight_data_processing")+COUNTIFS(Causal_Event_Ledger!$A$2:$A$500,"&gt;="&amp;"2025-01-01",Causal_Event_Ledger!$A$2:$A$500,"&lt;="&amp;"2025-12-31",Causal_Event_Ledger!$H$2:$H$500,"flight_data_processing")</x:f>
        <x:v>0</x:v>
      </x:c>
      <x:c r="E11" s="11" t="n">
        <x:f>COUNTIFS(Causal_Event_Ledger!$A$2:$A$500,"&gt;="&amp;"2025-01-01",Causal_Event_Ledger!$A$2:$A$500,"&lt;="&amp;"2025-12-31",Causal_Event_Ledger!$G$2:$G$500,"datalink_cpdlc")+COUNTIFS(Causal_Event_Ledger!$A$2:$A$500,"&gt;="&amp;"2025-01-01",Causal_Event_Ledger!$A$2:$A$500,"&lt;="&amp;"2025-12-31",Causal_Event_Ledger!$H$2:$H$500,"datalink_cpdlc")</x:f>
        <x:v>2</x:v>
      </x:c>
      <x:c r="F11" s="11" t="n">
        <x:f>COUNTIFS(Causal_Event_Ledger!$A$2:$A$500,"&gt;="&amp;"2025-01-01",Causal_Event_Ledger!$A$2:$A$500,"&lt;="&amp;"2025-12-31",Causal_Event_Ledger!$G$2:$G$500,"network_connectivity")+COUNTIFS(Causal_Event_Ledger!$A$2:$A$500,"&gt;="&amp;"2025-01-01",Causal_Event_Ledger!$A$2:$A$500,"&lt;="&amp;"2025-12-31",Causal_Event_Ledger!$H$2:$H$500,"network_connectivity")</x:f>
        <x:v>0</x:v>
      </x:c>
      <x:c r="G11" s="11" t="n">
        <x:f>COUNTIFS(Causal_Event_Ledger!$A$2:$A$500,"&gt;="&amp;"2025-01-01",Causal_Event_Ledger!$A$2:$A$500,"&lt;="&amp;"2025-12-31",Causal_Event_Ledger!$G$2:$G$500,"power_failure")+COUNTIFS(Causal_Event_Ledger!$A$2:$A$500,"&gt;="&amp;"2025-01-01",Causal_Event_Ledger!$A$2:$A$500,"&lt;="&amp;"2025-12-31",Causal_Event_Ledger!$H$2:$H$500,"power_failure")</x:f>
        <x:v>0</x:v>
      </x:c>
      <x:c r="H11" s="11" t="n">
        <x:f>COUNTIFS(Causal_Event_Ledger!$A$2:$A$500,"&gt;="&amp;"2025-01-01",Causal_Event_Ledger!$A$2:$A$500,"&lt;="&amp;"2025-12-31",Causal_Event_Ledger!$G$2:$G$500,"hardware_failure")+COUNTIFS(Causal_Event_Ledger!$A$2:$A$500,"&gt;="&amp;"2025-01-01",Causal_Event_Ledger!$A$2:$A$500,"&lt;="&amp;"2025-12-31",Causal_Event_Ledger!$H$2:$H$500,"hardware_failure")</x:f>
        <x:v>0</x:v>
      </x:c>
      <x:c r="I11" s="11" t="n">
        <x:f>COUNTIFS(Causal_Event_Ledger!$A$2:$A$500,"&gt;="&amp;"2025-01-01",Causal_Event_Ledger!$A$2:$A$500,"&lt;="&amp;"2025-12-31",Causal_Event_Ledger!$G$2:$G$500,"software_failure")+COUNTIFS(Causal_Event_Ledger!$A$2:$A$500,"&gt;="&amp;"2025-01-01",Causal_Event_Ledger!$A$2:$A$500,"&lt;="&amp;"2025-12-31",Causal_Event_Ledger!$H$2:$H$500,"software_failure")</x:f>
        <x:v>0</x:v>
      </x:c>
      <x:c r="J11" s="11" t="n">
        <x:f>COUNTIFS(Causal_Event_Ledger!$A$2:$A$500,"&gt;="&amp;"2025-01-01",Causal_Event_Ledger!$A$2:$A$500,"&lt;="&amp;"2025-12-31",Causal_Event_Ledger!$G$2:$G$500,"gnss_jamming")+COUNTIFS(Causal_Event_Ledger!$A$2:$A$500,"&gt;="&amp;"2025-01-01",Causal_Event_Ledger!$A$2:$A$500,"&lt;="&amp;"2025-12-31",Causal_Event_Ledger!$H$2:$H$500,"gnss_jamming")</x:f>
        <x:v>0</x:v>
      </x:c>
      <x:c r="K11" s="11" t="n">
        <x:f>COUNTIFS(Causal_Event_Ledger!$A$2:$A$500,"&gt;="&amp;"2025-01-01",Causal_Event_Ledger!$A$2:$A$500,"&lt;="&amp;"2025-12-31",Causal_Event_Ledger!$G$2:$G$500,"gnss_spoofing")+COUNTIFS(Causal_Event_Ledger!$A$2:$A$500,"&gt;="&amp;"2025-01-01",Causal_Event_Ledger!$A$2:$A$500,"&lt;="&amp;"2025-12-31",Causal_Event_Ledger!$H$2:$H$500,"gnss_spoofing")</x:f>
        <x:v>0</x:v>
      </x:c>
      <x:c r="L11" s="11" t="n">
        <x:f>COUNTIFS(Causal_Event_Ledger!$A$2:$A$500,"&gt;="&amp;"2025-01-01",Causal_Event_Ledger!$A$2:$A$500,"&lt;="&amp;"2025-12-31",Causal_Event_Ledger!$G$2:$G$500,"unknown_investigation")+COUNTIFS(Causal_Event_Ledger!$A$2:$A$500,"&gt;="&amp;"2025-01-01",Causal_Event_Ledger!$A$2:$A$500,"&lt;="&amp;"2025-12-31",Causal_Event_Ledger!$H$2:$H$500,"unknown_investigation")</x:f>
        <x:v>0</x:v>
      </x:c>
      <x:c r="M11" s="11" t="n">
        <x:f>COUNTIFS(Causal_Event_Ledger!$A$2:$A$500,"&gt;="&amp;"2025-01-01",Causal_Event_Ledger!$A$2:$A$500,"&lt;="&amp;"2025-12-31")</x:f>
        <x:v>2</x:v>
      </x:c>
    </x:row>
    <x:row r="12">
      <x:c r="A12" s="11" t="n">
        <x:v>2026</x:v>
      </x:c>
      <x:c r="B12" s="11" t="n">
        <x:f>COUNTIFS(Causal_Event_Ledger!$A$2:$A$500,"&gt;="&amp;"2026-01-01",Causal_Event_Ledger!$A$2:$A$500,"&lt;="&amp;"2026-12-31",Causal_Event_Ledger!$G$2:$G$500,"comms_failure")+COUNTIFS(Causal_Event_Ledger!$A$2:$A$500,"&gt;="&amp;"2026-01-01",Causal_Event_Ledger!$A$2:$A$500,"&lt;="&amp;"2026-12-31",Causal_Event_Ledger!$H$2:$H$500,"comms_failure")</x:f>
        <x:v>0</x:v>
      </x:c>
      <x:c r="C12" s="11" t="n">
        <x:f>COUNTIFS(Causal_Event_Ledger!$A$2:$A$500,"&gt;="&amp;"2026-01-01",Causal_Event_Ledger!$A$2:$A$500,"&lt;="&amp;"2026-12-31",Causal_Event_Ledger!$G$2:$G$500,"surveillance_failure")+COUNTIFS(Causal_Event_Ledger!$A$2:$A$500,"&gt;="&amp;"2026-01-01",Causal_Event_Ledger!$A$2:$A$500,"&lt;="&amp;"2026-12-31",Causal_Event_Ledger!$H$2:$H$500,"surveillance_failure")</x:f>
        <x:v>0</x:v>
      </x:c>
      <x:c r="D12" s="11" t="n">
        <x:f>COUNTIFS(Causal_Event_Ledger!$A$2:$A$500,"&gt;="&amp;"2026-01-01",Causal_Event_Ledger!$A$2:$A$500,"&lt;="&amp;"2026-12-31",Causal_Event_Ledger!$G$2:$G$500,"flight_data_processing")+COUNTIFS(Causal_Event_Ledger!$A$2:$A$500,"&gt;="&amp;"2026-01-01",Causal_Event_Ledger!$A$2:$A$500,"&lt;="&amp;"2026-12-31",Causal_Event_Ledger!$H$2:$H$500,"flight_data_processing")</x:f>
        <x:v>0</x:v>
      </x:c>
      <x:c r="E12" s="11" t="n">
        <x:f>COUNTIFS(Causal_Event_Ledger!$A$2:$A$500,"&gt;="&amp;"2026-01-01",Causal_Event_Ledger!$A$2:$A$500,"&lt;="&amp;"2026-12-31",Causal_Event_Ledger!$G$2:$G$500,"datalink_cpdlc")+COUNTIFS(Causal_Event_Ledger!$A$2:$A$500,"&gt;="&amp;"2026-01-01",Causal_Event_Ledger!$A$2:$A$500,"&lt;="&amp;"2026-12-31",Causal_Event_Ledger!$H$2:$H$500,"datalink_cpdlc")</x:f>
        <x:v>0</x:v>
      </x:c>
      <x:c r="F12" s="11" t="n">
        <x:f>COUNTIFS(Causal_Event_Ledger!$A$2:$A$500,"&gt;="&amp;"2026-01-01",Causal_Event_Ledger!$A$2:$A$500,"&lt;="&amp;"2026-12-31",Causal_Event_Ledger!$G$2:$G$500,"network_connectivity")+COUNTIFS(Causal_Event_Ledger!$A$2:$A$500,"&gt;="&amp;"2026-01-01",Causal_Event_Ledger!$A$2:$A$500,"&lt;="&amp;"2026-12-31",Causal_Event_Ledger!$H$2:$H$500,"network_connectivity")</x:f>
        <x:v>0</x:v>
      </x:c>
      <x:c r="G12" s="11" t="n">
        <x:f>COUNTIFS(Causal_Event_Ledger!$A$2:$A$500,"&gt;="&amp;"2026-01-01",Causal_Event_Ledger!$A$2:$A$500,"&lt;="&amp;"2026-12-31",Causal_Event_Ledger!$G$2:$G$500,"power_failure")+COUNTIFS(Causal_Event_Ledger!$A$2:$A$500,"&gt;="&amp;"2026-01-01",Causal_Event_Ledger!$A$2:$A$500,"&lt;="&amp;"2026-12-31",Causal_Event_Ledger!$H$2:$H$500,"power_failure")</x:f>
        <x:v>0</x:v>
      </x:c>
      <x:c r="H12" s="11" t="n">
        <x:f>COUNTIFS(Causal_Event_Ledger!$A$2:$A$500,"&gt;="&amp;"2026-01-01",Causal_Event_Ledger!$A$2:$A$500,"&lt;="&amp;"2026-12-31",Causal_Event_Ledger!$G$2:$G$500,"hardware_failure")+COUNTIFS(Causal_Event_Ledger!$A$2:$A$500,"&gt;="&amp;"2026-01-01",Causal_Event_Ledger!$A$2:$A$500,"&lt;="&amp;"2026-12-31",Causal_Event_Ledger!$H$2:$H$500,"hardware_failure")</x:f>
        <x:v>0</x:v>
      </x:c>
      <x:c r="I12" s="11" t="n">
        <x:f>COUNTIFS(Causal_Event_Ledger!$A$2:$A$500,"&gt;="&amp;"2026-01-01",Causal_Event_Ledger!$A$2:$A$500,"&lt;="&amp;"2026-12-31",Causal_Event_Ledger!$G$2:$G$500,"software_failure")+COUNTIFS(Causal_Event_Ledger!$A$2:$A$500,"&gt;="&amp;"2026-01-01",Causal_Event_Ledger!$A$2:$A$500,"&lt;="&amp;"2026-12-31",Causal_Event_Ledger!$H$2:$H$500,"software_failure")</x:f>
        <x:v>0</x:v>
      </x:c>
      <x:c r="J12" s="11" t="n">
        <x:f>COUNTIFS(Causal_Event_Ledger!$A$2:$A$500,"&gt;="&amp;"2026-01-01",Causal_Event_Ledger!$A$2:$A$500,"&lt;="&amp;"2026-12-31",Causal_Event_Ledger!$G$2:$G$500,"gnss_jamming")+COUNTIFS(Causal_Event_Ledger!$A$2:$A$500,"&gt;="&amp;"2026-01-01",Causal_Event_Ledger!$A$2:$A$500,"&lt;="&amp;"2026-12-31",Causal_Event_Ledger!$H$2:$H$500,"gnss_jamming")</x:f>
        <x:v>3</x:v>
      </x:c>
      <x:c r="K12" s="11" t="n">
        <x:f>COUNTIFS(Causal_Event_Ledger!$A$2:$A$500,"&gt;="&amp;"2026-01-01",Causal_Event_Ledger!$A$2:$A$500,"&lt;="&amp;"2026-12-31",Causal_Event_Ledger!$G$2:$G$500,"gnss_spoofing")+COUNTIFS(Causal_Event_Ledger!$A$2:$A$500,"&gt;="&amp;"2026-01-01",Causal_Event_Ledger!$A$2:$A$500,"&lt;="&amp;"2026-12-31",Causal_Event_Ledger!$H$2:$H$500,"gnss_spoofing")</x:f>
        <x:v>2</x:v>
      </x:c>
      <x:c r="L12" s="11" t="n">
        <x:f>COUNTIFS(Causal_Event_Ledger!$A$2:$A$500,"&gt;="&amp;"2026-01-01",Causal_Event_Ledger!$A$2:$A$500,"&lt;="&amp;"2026-12-31",Causal_Event_Ledger!$G$2:$G$500,"unknown_investigation")+COUNTIFS(Causal_Event_Ledger!$A$2:$A$500,"&gt;="&amp;"2026-01-01",Causal_Event_Ledger!$A$2:$A$500,"&lt;="&amp;"2026-12-31",Causal_Event_Ledger!$H$2:$H$500,"unknown_investigation")</x:f>
        <x:v>0</x:v>
      </x:c>
      <x:c r="M12" s="11" t="n">
        <x:f>COUNTIFS(Causal_Event_Ledger!$A$2:$A$500,"&gt;="&amp;"2026-01-01",Causal_Event_Ledger!$A$2:$A$500,"&lt;="&amp;"2026-12-31")</x:f>
        <x:v>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8" hidden="0" customWidth="1"/>
    <x:col min="5" max="5" width="22" hidden="0" customWidth="1"/>
    <x:col min="6" max="6" width="12" hidden="0" customWidth="1"/>
    <x:col min="7" max="7" width="22" hidden="0" customWidth="1"/>
    <x:col min="8" max="8" width="58" hidden="0" customWidth="1"/>
    <x:col min="9" max="9" width="26" hidden="0" customWidth="1"/>
    <x:col min="10" max="10" width="22" hidden="0" customWidth="1"/>
    <x:col min="11" max="11" width="24" hidden="0" customWidth="1"/>
    <x:col min="12" max="12" width="22" hidden="0" customWidth="1"/>
    <x:col min="13" max="13" width="30" hidden="0" customWidth="1"/>
    <x:col min="14" max="14" width="44" hidden="0" customWidth="1"/>
    <x:col min="15" max="15" width="55" hidden="0" customWidth="1"/>
    <x:col min="16" max="16" width="28" hidden="0" customWidth="1"/>
  </x:cols>
  <x:sheetData>
    <x:row r="1">
      <x:c r="A1" s="36" t="str">
        <x:v>Date</x:v>
      </x:c>
      <x:c r="B1" s="36" t="str">
        <x:v>Country</x:v>
      </x:c>
      <x:c r="C1" s="36" t="str">
        <x:v>Service/operator</x:v>
      </x:c>
      <x:c r="D1" s="36" t="str">
        <x:v>Aircraft</x:v>
      </x:c>
      <x:c r="E1" s="36" t="str">
        <x:v>Event type</x:v>
      </x:c>
      <x:c r="F1" s="36" t="str">
        <x:v>Fatalities</x:v>
      </x:c>
      <x:c r="G1" s="36" t="str">
        <x:v>Aircraft lost/damaged</x:v>
      </x:c>
      <x:c r="H1" s="36" t="str">
        <x:v>Official cause / causal factor</x:v>
      </x:c>
      <x:c r="I1" s="36" t="str">
        <x:v>Cause code</x:v>
      </x:c>
      <x:c r="J1" s="36" t="str">
        <x:v>Cause confidence</x:v>
      </x:c>
      <x:c r="K1" s="36" t="str">
        <x:v>Digital relevance</x:v>
      </x:c>
      <x:c r="L1" s="36" t="str">
        <x:v>Hostile/fire relevance</x:v>
      </x:c>
      <x:c r="M1" s="36" t="str">
        <x:v>Investigation/source status</x:v>
      </x:c>
      <x:c r="N1" s="36" t="str">
        <x:v>Why retained</x:v>
      </x:c>
      <x:c r="O1" s="36" t="str">
        <x:v>Official source URL</x:v>
      </x:c>
      <x:c r="P1" s="36" t="str">
        <x:v>Coverage note</x:v>
      </x:c>
    </x:row>
    <x:row r="2">
      <x:c r="A2" s="11" t="str">
        <x:v>2016-07-08</x:v>
      </x:c>
      <x:c r="B2" s="11" t="str">
        <x:v>United Kingdom</x:v>
      </x:c>
      <x:c r="C2" s="11" t="str">
        <x:v>MOD / test activity</x:v>
      </x:c>
      <x:c r="D2" s="11" t="str">
        <x:v>Yak-52 G-YAKB</x:v>
      </x:c>
      <x:c r="E2" s="11" t="str">
        <x:v>air accident</x:v>
      </x:c>
      <x:c r="F2" s="11"/>
      <x:c r="G2" s="11" t="str">
        <x:v>accident</x:v>
      </x:c>
      <x:c r="H2" s="11" t="str">
        <x:v>Official Service Inquiry completed; causal-factor extraction still required from full report</x:v>
      </x:c>
      <x:c r="I2" s="11" t="str">
        <x:v>unknown_investigation</x:v>
      </x:c>
      <x:c r="J2" s="11" t="str">
        <x:v>official final report</x:v>
      </x:c>
      <x:c r="K2" s="11" t="str">
        <x:v>no evidence either way</x:v>
      </x:c>
      <x:c r="L2" s="11" t="str">
        <x:v>non-hostile</x:v>
      </x:c>
      <x:c r="M2" s="11" t="str">
        <x:v>Final Service Inquiry published 15 Jun 2017</x:v>
      </x:c>
      <x:c r="N2" s="11" t="str">
        <x:v>Official military inquiry inside baseline period</x:v>
      </x:c>
      <x:c r="O2" s="11" t="str">
        <x:v>https://www.gov.uk/government/publications/service-inquiry-into-the-aircraft-accident-involving-yak52-g-yakb-on-8-july-2016</x:v>
      </x:c>
      <x:c r="P2" s="11" t="str">
        <x:v>UK seed; not yet NATO-wide</x:v>
      </x:c>
    </x:row>
    <x:row r="3">
      <x:c r="A3" s="11" t="str">
        <x:v>2016-08-09</x:v>
      </x:c>
      <x:c r="B3" s="11" t="str">
        <x:v>United Kingdom</x:v>
      </x:c>
      <x:c r="C3" s="11" t="str">
        <x:v>RAF</x:v>
      </x:c>
      <x:c r="D3" s="11" t="str">
        <x:v>Griffin Mk1 ZJ241</x:v>
      </x:c>
      <x:c r="E3" s="11" t="str">
        <x:v>helicopter accident</x:v>
      </x:c>
      <x:c r="F3" s="11"/>
      <x:c r="G3" s="11" t="str">
        <x:v>accident</x:v>
      </x:c>
      <x:c r="H3" s="11" t="str">
        <x:v>Official Service Inquiry completed; causal-factor extraction still required from full report</x:v>
      </x:c>
      <x:c r="I3" s="11" t="str">
        <x:v>unknown_investigation</x:v>
      </x:c>
      <x:c r="J3" s="11" t="str">
        <x:v>official final report</x:v>
      </x:c>
      <x:c r="K3" s="11" t="str">
        <x:v>no evidence either way</x:v>
      </x:c>
      <x:c r="L3" s="11" t="str">
        <x:v>non-hostile</x:v>
      </x:c>
      <x:c r="M3" s="11" t="str">
        <x:v>Final Service Inquiry published 16 Aug 2018</x:v>
      </x:c>
      <x:c r="N3" s="11" t="str">
        <x:v>Official helicopter accident comparator</x:v>
      </x:c>
      <x:c r="O3" s="11" t="str">
        <x:v>https://www.gov.uk/government/publications/service-inquiry-into-the-accident-involving-a-griffin-mk1-zj241-at-yr-aran-snowdonia-wales</x:v>
      </x:c>
      <x:c r="P3" s="11" t="str">
        <x:v>UK seed; not yet NATO-wide</x:v>
      </x:c>
    </x:row>
    <x:row r="4">
      <x:c r="A4" s="11" t="str">
        <x:v>2017-08-25</x:v>
      </x:c>
      <x:c r="B4" s="11" t="str">
        <x:v>United Kingdom</x:v>
      </x:c>
      <x:c r="C4" s="11" t="str">
        <x:v>RAF</x:v>
      </x:c>
      <x:c r="D4" s="11" t="str">
        <x:v>Hercules C-130J Mk4 ZH873</x:v>
      </x:c>
      <x:c r="E4" s="11" t="str">
        <x:v>heavy landing</x:v>
      </x:c>
      <x:c r="F4" s="11" t="n">
        <x:v>0</x:v>
      </x:c>
      <x:c r="G4" s="11" t="str">
        <x:v>serious damage</x:v>
      </x:c>
      <x:c r="H4" s="11" t="str">
        <x:v>Official Service Inquiry completed; root-cause coding requires report extraction</x:v>
      </x:c>
      <x:c r="I4" s="11" t="str">
        <x:v>unknown_investigation</x:v>
      </x:c>
      <x:c r="J4" s="11" t="str">
        <x:v>official final report</x:v>
      </x:c>
      <x:c r="K4" s="11" t="str">
        <x:v>no evidence either way</x:v>
      </x:c>
      <x:c r="L4" s="11" t="str">
        <x:v>non-hostile</x:v>
      </x:c>
      <x:c r="M4" s="11" t="str">
        <x:v>Final Service Inquiry published 21 May 2019</x:v>
      </x:c>
      <x:c r="N4" s="11" t="str">
        <x:v>Heavy-landing/airframe-loss comparator</x:v>
      </x:c>
      <x:c r="O4" s="11" t="str">
        <x:v>https://www.gov.uk/government/publications/service-inquiry-into-the-accident-involving-a-hercules-c-130j-mk4-zh873-heaving-land-incident-on-25-august-2017</x:v>
      </x:c>
      <x:c r="P4" s="11" t="str">
        <x:v>UK seed; not yet NATO-wide</x:v>
      </x:c>
    </x:row>
    <x:row r="5">
      <x:c r="A5" s="11" t="str">
        <x:v>2018-03-20</x:v>
      </x:c>
      <x:c r="B5" s="11" t="str">
        <x:v>United Kingdom</x:v>
      </x:c>
      <x:c r="C5" s="11" t="str">
        <x:v>RAF / Red Arrows</x:v>
      </x:c>
      <x:c r="D5" s="11" t="str">
        <x:v>Hawk T Mk1A XX204</x:v>
      </x:c>
      <x:c r="E5" s="11" t="str">
        <x:v>crash</x:v>
      </x:c>
      <x:c r="F5" s="11" t="n">
        <x:v>1</x:v>
      </x:c>
      <x:c r="G5" s="11" t="str">
        <x:v>aircraft lost</x:v>
      </x:c>
      <x:c r="H5" s="11" t="str">
        <x:v>Official Service Inquiry completed; public announcement initially stated cause should not be speculated upon</x:v>
      </x:c>
      <x:c r="I5" s="11" t="str">
        <x:v>unknown_investigation</x:v>
      </x:c>
      <x:c r="J5" s="11" t="str">
        <x:v>official final report</x:v>
      </x:c>
      <x:c r="K5" s="11" t="str">
        <x:v>no evidence either way</x:v>
      </x:c>
      <x:c r="L5" s="11" t="str">
        <x:v>non-hostile</x:v>
      </x:c>
      <x:c r="M5" s="11" t="str">
        <x:v>Final Service Inquiry published 10 Oct 2019</x:v>
      </x:c>
      <x:c r="N5" s="11" t="str">
        <x:v>Fatal non-hostile military aircraft-loss comparator</x:v>
      </x:c>
      <x:c r="O5" s="11" t="str">
        <x:v>https://www.gov.uk/government/publications/service-inquiry-into-the-accident-involving-hawk-t-mk1a-xx204-on-20-march-2018</x:v>
      </x:c>
      <x:c r="P5" s="11" t="str">
        <x:v>UK seed; one fatality confirmed by MOD</x:v>
      </x:c>
    </x:row>
    <x:row r="6">
      <x:c r="A6" s="11" t="str">
        <x:v>2021-09-02</x:v>
      </x:c>
      <x:c r="B6" s="11" t="str">
        <x:v>United Kingdom</x:v>
      </x:c>
      <x:c r="C6" s="11" t="str">
        <x:v>RAF</x:v>
      </x:c>
      <x:c r="D6" s="11" t="str">
        <x:v>Parachute training operation</x:v>
      </x:c>
      <x:c r="E6" s="11" t="str">
        <x:v>parachuting fatality</x:v>
      </x:c>
      <x:c r="F6" s="11" t="n">
        <x:v>1</x:v>
      </x:c>
      <x:c r="G6" s="11" t="str">
        <x:v>not aircraft loss</x:v>
      </x:c>
      <x:c r="H6" s="11" t="str">
        <x:v>DSA annual assurance report: turbulent wake from freefall position and malformed reserve pilot chute were causal factors</x:v>
      </x:c>
      <x:c r="I6" s="11" t="str">
        <x:v>human_factors</x:v>
      </x:c>
      <x:c r="J6" s="11" t="str">
        <x:v>official final finding</x:v>
      </x:c>
      <x:c r="K6" s="11" t="str">
        <x:v>not applicable</x:v>
      </x:c>
      <x:c r="L6" s="11" t="str">
        <x:v>non-hostile</x:v>
      </x:c>
      <x:c r="M6" s="11" t="str">
        <x:v>Final Service Inquiry published 22 Jun 2023</x:v>
      </x:c>
      <x:c r="N6" s="11" t="str">
        <x:v>Air-safety adjacent control; kept but flagged as not aircraft loss</x:v>
      </x:c>
      <x:c r="O6" s="11" t="str">
        <x:v>https://www.gov.uk/government/publications/investigation-into-the-fatality-of-a-royal-air-force-parachute-instructor-at-raf-weston-on-the-green-on-2-september-2021</x:v>
      </x:c>
      <x:c r="P6" s="11" t="str">
        <x:v>Exclude from aircraft-loss numerator</x:v>
      </x:c>
    </x:row>
    <x:row r="7">
      <x:c r="A7" s="11" t="str">
        <x:v>2021-11-17</x:v>
      </x:c>
      <x:c r="B7" s="11" t="str">
        <x:v>United Kingdom</x:v>
      </x:c>
      <x:c r="C7" s="11" t="str">
        <x:v>RAF / 617 Sqn</x:v>
      </x:c>
      <x:c r="D7" s="11" t="str">
        <x:v>F-35B Lightning ZM152</x:v>
      </x:c>
      <x:c r="E7" s="11" t="str">
        <x:v>carrier launch loss</x:v>
      </x:c>
      <x:c r="F7" s="11" t="n">
        <x:v>0</x:v>
      </x:c>
      <x:c r="G7" s="11" t="str">
        <x:v>aircraft lost</x:v>
      </x:c>
      <x:c r="H7" s="11" t="str">
        <x:v>DSA annual assurance report: an intake blank at the front face of the engine compressor during launch was the causal factor</x:v>
      </x:c>
      <x:c r="I7" s="11" t="str">
        <x:v>structural_mechanical</x:v>
      </x:c>
      <x:c r="J7" s="11" t="str">
        <x:v>official final finding</x:v>
      </x:c>
      <x:c r="K7" s="11" t="str">
        <x:v>not applicable</x:v>
      </x:c>
      <x:c r="L7" s="11" t="str">
        <x:v>non-hostile</x:v>
      </x:c>
      <x:c r="M7" s="11" t="str">
        <x:v>Final Service Inquiry published 10 Aug 2023</x:v>
      </x:c>
      <x:c r="N7" s="11" t="str">
        <x:v>High-value aircraft loss with clear conventional cause</x:v>
      </x:c>
      <x:c r="O7" s="11" t="str">
        <x:v>https://www.gov.uk/government/publications/service-inquiry-into-the-loss-of-f-35b-lightning-zm152-bk-18</x:v>
      </x:c>
      <x:c r="P7" s="11" t="str">
        <x:v>Strong control against treating every unexplained-looking loss as digital</x:v>
      </x:c>
    </x:row>
    <x:row r="8">
      <x:c r="A8" s="11" t="str">
        <x:v>2024-09-04</x:v>
      </x:c>
      <x:c r="B8" s="11" t="str">
        <x:v>United Kingdom</x:v>
      </x:c>
      <x:c r="C8" s="11" t="str">
        <x:v>Royal Navy / HMS Queen Elizabeth</x:v>
      </x:c>
      <x:c r="D8" s="11" t="str">
        <x:v>air accident during carrier operations</x:v>
      </x:c>
      <x:c r="E8" s="11" t="str">
        <x:v>air accident</x:v>
      </x:c>
      <x:c r="F8" s="11" t="n">
        <x:v>1</x:v>
      </x:c>
      <x:c r="G8" s="11" t="str">
        <x:v>under investigation/final report now published</x:v>
      </x:c>
      <x:c r="H8" s="11" t="str">
        <x:v>Final Service Inquiry published 11 Sep 2026; detailed causal-factor extraction required</x:v>
      </x:c>
      <x:c r="I8" s="11" t="str">
        <x:v>unknown_investigation</x:v>
      </x:c>
      <x:c r="J8" s="11" t="str">
        <x:v>official final report</x:v>
      </x:c>
      <x:c r="K8" s="11" t="str">
        <x:v>no evidence either way</x:v>
      </x:c>
      <x:c r="L8" s="11" t="str">
        <x:v>non-hostile</x:v>
      </x:c>
      <x:c r="M8" s="11" t="str">
        <x:v>Final Service Inquiry available</x:v>
      </x:c>
      <x:c r="N8" s="11" t="str">
        <x:v>Recent pre-Iran-war fatal military aviation comparator</x:v>
      </x:c>
      <x:c r="O8" s="11" t="str">
        <x:v>https://www.gov.uk/government/publications/service-inquiry-into-the-death-of-a-service-person-in-an-air-accident-while-operating-with-hms-queen-elizabeth-on-4-september-2024</x:v>
      </x:c>
      <x:c r="P8" s="11" t="str">
        <x:v>Critical report to extract next</x:v>
      </x:c>
    </x:row>
    <x:row r="9">
      <x:c r="A9" t="str">
        <x:v>2016-06-02</x:v>
      </x:c>
      <x:c r="B9" t="str">
        <x:v>United States</x:v>
      </x:c>
      <x:c r="C9" t="str">
        <x:v>US Navy / Blue Angels</x:v>
      </x:c>
      <x:c r="D9" t="str">
        <x:v>F/A-18C Hornet</x:v>
      </x:c>
      <x:c r="E9" t="str">
        <x:v>practice-flight crash</x:v>
      </x:c>
      <x:c r="F9" t="n">
        <x:v>1</x:v>
      </x:c>
      <x:c r="G9" t="str">
        <x:v>aircraft lost</x:v>
      </x:c>
      <x:c r="H9" t="str">
        <x:v>Crashed during beginning stages of air-show practice; this row records the official occurrence. Detailed causal finding not yet extracted.</x:v>
      </x:c>
      <x:c r="I9" t="str">
        <x:v>unknown_investigation</x:v>
      </x:c>
      <x:c r="J9" t="str">
        <x:v>official occurrence</x:v>
      </x:c>
      <x:c r="K9" t="str">
        <x:v>no evidence either way</x:v>
      </x:c>
      <x:c r="L9" t="str">
        <x:v>non-hostile</x:v>
      </x:c>
      <x:c r="M9" t="str">
        <x:v>US Navy official release</x:v>
      </x:c>
      <x:c r="N9" t="str">
        <x:v>Fatal training/display comparator</x:v>
      </x:c>
      <x:c r="O9" t="str">
        <x:v>https://www.navy.mil/Press-Office/Press-Releases/display-pressreleases/Article/2257181/update-blue-angel-fa-18-crashes-during-air-show-practice/</x:v>
      </x:c>
      <x:c r="P9" t="str">
        <x:v>NATO member; official Navy source</x:v>
      </x:c>
    </x:row>
    <x:row r="10">
      <x:c r="A10" t="str">
        <x:v>2016-06-07</x:v>
      </x:c>
      <x:c r="B10" t="str">
        <x:v>United States</x:v>
      </x:c>
      <x:c r="C10" t="str">
        <x:v>US Air Force</x:v>
      </x:c>
      <x:c r="D10" t="str">
        <x:v>2 × F-16C</x:v>
      </x:c>
      <x:c r="E10" t="str">
        <x:v>training mid-air collision</x:v>
      </x:c>
      <x:c r="F10" t="n">
        <x:v>0</x:v>
      </x:c>
      <x:c r="G10" t="str">
        <x:v>2 aircraft lost</x:v>
      </x:c>
      <x:c r="H10" t="str">
        <x:v>AIB: pilot failed to ensure flight-path deconfliction/separation; unannounced turn produced head-on collision.</x:v>
      </x:c>
      <x:c r="I10" t="str">
        <x:v>human_factors</x:v>
      </x:c>
      <x:c r="J10" t="str">
        <x:v>official final finding</x:v>
      </x:c>
      <x:c r="K10" t="str">
        <x:v>not applicable</x:v>
      </x:c>
      <x:c r="L10" t="str">
        <x:v>non-hostile</x:v>
      </x:c>
      <x:c r="M10" t="str">
        <x:v>Air Combat Command AIB summary</x:v>
      </x:c>
      <x:c r="N10" t="str">
        <x:v>Two-aircraft loss with established conventional cause</x:v>
      </x:c>
      <x:c r="O10" t="str">
        <x:v>https://www.acc.af.mil/News/Article-Display/Article/1505189/f-16c-training-midair-collision-accident-investigation-released/</x:v>
      </x:c>
      <x:c r="P10" t="str">
        <x:v>Both pilots ejected with minor injuries</x:v>
      </x:c>
    </x:row>
    <x:row r="11">
      <x:c r="A11" t="str">
        <x:v>2017-04-05</x:v>
      </x:c>
      <x:c r="B11" t="str">
        <x:v>United States</x:v>
      </x:c>
      <x:c r="C11" t="str">
        <x:v>US Air Force / ANG</x:v>
      </x:c>
      <x:c r="D11" t="str">
        <x:v>F-16C</x:v>
      </x:c>
      <x:c r="E11" t="str">
        <x:v>training-flight crash</x:v>
      </x:c>
      <x:c r="F11" t="n">
        <x:v>0</x:v>
      </x:c>
      <x:c r="G11" t="str">
        <x:v>aircraft lost</x:v>
      </x:c>
      <x:c r="H11" t="str">
        <x:v>AIB: improper assembly of main engine control; missing retaining ring/anti-rotation pin led to abnormal fuel flow, engine overspeed/fire and catastrophic engine failure.</x:v>
      </x:c>
      <x:c r="I11" t="str">
        <x:v>engine_propulsion</x:v>
      </x:c>
      <x:c r="J11" t="str">
        <x:v>official final finding</x:v>
      </x:c>
      <x:c r="K11" t="str">
        <x:v>not applicable</x:v>
      </x:c>
      <x:c r="L11" t="str">
        <x:v>non-hostile</x:v>
      </x:c>
      <x:c r="M11" t="str">
        <x:v>Air Combat Command AIB</x:v>
      </x:c>
      <x:c r="N11" t="str">
        <x:v>Strong maintenance/mechanical-cause comparator</x:v>
      </x:c>
      <x:c r="O11" t="str">
        <x:v>https://www.acc.af.mil/News/Article/1354476/f-16c-accident-investigation-released/</x:v>
      </x:c>
      <x:c r="P11" t="str">
        <x:v>Pilot ejected safely</x:v>
      </x:c>
    </x:row>
    <x:row r="12">
      <x:c r="A12" t="str">
        <x:v>2017-06-21</x:v>
      </x:c>
      <x:c r="B12" t="str">
        <x:v>United States</x:v>
      </x:c>
      <x:c r="C12" t="str">
        <x:v>US Air Force / ANG under NORAD</x:v>
      </x:c>
      <x:c r="D12" t="str">
        <x:v>F-16</x:v>
      </x:c>
      <x:c r="E12" t="str">
        <x:v>take-off crash during training</x:v>
      </x:c>
      <x:c r="F12" t="n">
        <x:v>0</x:v>
      </x:c>
      <x:c r="G12" t="str">
        <x:v>aircraft lost</x:v>
      </x:c>
      <x:c r="H12" t="str">
        <x:v>Official occurrence release confirms training crash; causal finding not extracted in this pass.</x:v>
      </x:c>
      <x:c r="I12" t="str">
        <x:v>unknown_investigation</x:v>
      </x:c>
      <x:c r="J12" t="str">
        <x:v>official occurrence</x:v>
      </x:c>
      <x:c r="K12" t="str">
        <x:v>no evidence either way</x:v>
      </x:c>
      <x:c r="L12" t="str">
        <x:v>non-hostile</x:v>
      </x:c>
      <x:c r="M12" t="str">
        <x:v>NORAD official release</x:v>
      </x:c>
      <x:c r="N12" t="str">
        <x:v>Unresolved-at-occurrence comparator</x:v>
      </x:c>
      <x:c r="O12" t="str">
        <x:v>https://www.norad.mil/Newsroom/Press-Releases/Article/1224526/f-16-crashes-at-ellington-airport/</x:v>
      </x:c>
      <x:c r="P12" t="str">
        <x:v>Pilot ejected safely</x:v>
      </x:c>
    </x:row>
    <x:row r="13">
      <x:c r="A13" t="str">
        <x:v>2017-06-21</x:v>
      </x:c>
      <x:c r="B13" t="str">
        <x:v>United States</x:v>
      </x:c>
      <x:c r="C13" t="str">
        <x:v>US Air Force</x:v>
      </x:c>
      <x:c r="D13" t="str">
        <x:v>RQ-4B Global Hawk</x:v>
      </x:c>
      <x:c r="E13" t="str">
        <x:v>uncrewed aircraft loss</x:v>
      </x:c>
      <x:c r="F13" t="n">
        <x:v>0</x:v>
      </x:c>
      <x:c r="G13" t="str">
        <x:v>aircraft lost</x:v>
      </x:c>
      <x:c r="H13" t="str">
        <x:v>ACC AIB tag summary: aircraft broke up after issues with a navigational data device/navigator.</x:v>
      </x:c>
      <x:c r="I13" t="str">
        <x:v>aircraft_avionics</x:v>
      </x:c>
      <x:c r="J13" t="str">
        <x:v>official final finding</x:v>
      </x:c>
      <x:c r="K13" t="str">
        <x:v>confirmed causal</x:v>
      </x:c>
      <x:c r="L13" t="str">
        <x:v>non-hostile</x:v>
      </x:c>
      <x:c r="M13" t="str">
        <x:v>Air Combat Command AIB index</x:v>
      </x:c>
      <x:c r="N13" t="str">
        <x:v>Direct historical navigation/data-system military comparator</x:v>
      </x:c>
      <x:c r="O13" t="str">
        <x:v>https://www.acc.af.mil/News/Tag/69171/aib/</x:v>
      </x:c>
      <x:c r="P13" t="str">
        <x:v>Uncrewed; keep separate in analysis from crewed aircraft</x:v>
      </x:c>
    </x:row>
    <x:row r="14">
      <x:c r="A14" t="str">
        <x:v>2018-06-11</x:v>
      </x:c>
      <x:c r="B14" t="str">
        <x:v>United States</x:v>
      </x:c>
      <x:c r="C14" t="str">
        <x:v>US Air Force</x:v>
      </x:c>
      <x:c r="D14" t="str">
        <x:v>F-15C Eagle</x:v>
      </x:c>
      <x:c r="E14" t="str">
        <x:v>routine-training crash</x:v>
      </x:c>
      <x:c r="F14" t="n">
        <x:v>0</x:v>
      </x:c>
      <x:c r="G14" t="str">
        <x:v>aircraft lost</x:v>
      </x:c>
      <x:c r="H14" t="str">
        <x:v>Later investigation attributed loss to improper manoeuvring leading to uncontrollable spin; occurrence release initially listed cause unknown.</x:v>
      </x:c>
      <x:c r="I14" t="str">
        <x:v>human_factors</x:v>
      </x:c>
      <x:c r="J14" t="str">
        <x:v>official final finding</x:v>
      </x:c>
      <x:c r="K14" t="str">
        <x:v>not applicable</x:v>
      </x:c>
      <x:c r="L14" t="str">
        <x:v>non-hostile</x:v>
      </x:c>
      <x:c r="M14" t="str">
        <x:v>US Forces Japan occurrence + subsequent AIB reporting</x:v>
      </x:c>
      <x:c r="N14" t="str">
        <x:v>Fighter loss with established non-digital cause</x:v>
      </x:c>
      <x:c r="O14" t="str">
        <x:v>https://www.usfj.mil/Media/Press-Releases/Article-View/Article/1547574/kadena-air-base-f-15-crash-update/</x:v>
      </x:c>
      <x:c r="P14" t="str">
        <x:v>Pilot ejected; serious injuries</x:v>
      </x:c>
    </x:row>
    <x:row r="15">
      <x:c r="A15" t="str">
        <x:v>2019-11-21</x:v>
      </x:c>
      <x:c r="B15" t="str">
        <x:v>United States</x:v>
      </x:c>
      <x:c r="C15" t="str">
        <x:v>US Air Force</x:v>
      </x:c>
      <x:c r="D15" t="str">
        <x:v>2 × T-38C</x:v>
      </x:c>
      <x:c r="E15" t="str">
        <x:v>landing collision</x:v>
      </x:c>
      <x:c r="F15" t="n">
        <x:v>2</x:v>
      </x:c>
      <x:c r="G15" t="str">
        <x:v>1+ aircraft severely damaged/lost</x:v>
      </x:c>
      <x:c r="H15" t="str">
        <x:v>AIB found inappropriate flight-control inputs during formation landing and instructor intervention/oversight issues.</x:v>
      </x:c>
      <x:c r="I15" t="str">
        <x:v>human_factors</x:v>
      </x:c>
      <x:c r="J15" t="str">
        <x:v>official final finding</x:v>
      </x:c>
      <x:c r="K15" t="str">
        <x:v>not applicable</x:v>
      </x:c>
      <x:c r="L15" t="str">
        <x:v>non-hostile</x:v>
      </x:c>
      <x:c r="M15" t="str">
        <x:v>USAF AIB</x:v>
      </x:c>
      <x:c r="N15" t="str">
        <x:v>Fatal training comparator with established cause</x:v>
      </x:c>
      <x:c r="O15" t="str">
        <x:v>https://www.afjag.af.mil/Portals/77/AIB-Reports/2020/21%20Nov%2019%20Vance%20T-38%20AIB%20Report.pdf</x:v>
      </x:c>
      <x:c r="P15" t="str">
        <x:v>Two fatalities in first aircraft; second crew survived</x:v>
      </x:c>
    </x:row>
    <x:row r="16">
      <x:c r="A16" t="str">
        <x:v>2020-06-30</x:v>
      </x:c>
      <x:c r="B16" t="str">
        <x:v>United States</x:v>
      </x:c>
      <x:c r="C16" t="str">
        <x:v>US Air Force</x:v>
      </x:c>
      <x:c r="D16" t="str">
        <x:v>F-16CM</x:v>
      </x:c>
      <x:c r="E16" t="str">
        <x:v>night training crash</x:v>
      </x:c>
      <x:c r="F16" t="n">
        <x:v>1</x:v>
      </x:c>
      <x:c r="G16" t="str">
        <x:v>aircraft lost</x:v>
      </x:c>
      <x:c r="H16" t="str">
        <x:v>AIB: pilot misinterpreted approach lighting/runway threshold; landing gear damaged. Contributory supervisory decision and multiple ejection-seat malfunctions made outcome fatal.</x:v>
      </x:c>
      <x:c r="I16" t="str">
        <x:v>human_factors</x:v>
      </x:c>
      <x:c r="J16" t="str">
        <x:v>official final finding</x:v>
      </x:c>
      <x:c r="K16" t="str">
        <x:v>confirmed contributory</x:v>
      </x:c>
      <x:c r="L16" t="str">
        <x:v>non-hostile</x:v>
      </x:c>
      <x:c r="M16" t="str">
        <x:v>Air Combat Command AIB</x:v>
      </x:c>
      <x:c r="N16" t="str">
        <x:v>Important multi-factor failure: human + safety-system hardware</x:v>
      </x:c>
      <x:c r="O16" t="str">
        <x:v>https://www.acc.af.mil/News/Article/2409430/acc-releases-accident-investigation-board-report-for-f-16-crash-at-shaw-afb/</x:v>
      </x:c>
      <x:c r="P16" t="str">
        <x:v>Ejection-seat failures materially affected fatal outcome</x:v>
      </x:c>
    </x:row>
    <x:row r="17">
      <x:c r="A17" t="str">
        <x:v>2020-12-08</x:v>
      </x:c>
      <x:c r="B17" t="str">
        <x:v>United States</x:v>
      </x:c>
      <x:c r="C17" t="str">
        <x:v>US Air Force / ANG</x:v>
      </x:c>
      <x:c r="D17" t="str">
        <x:v>F-16C</x:v>
      </x:c>
      <x:c r="E17" t="str">
        <x:v>night training crash</x:v>
      </x:c>
      <x:c r="F17" t="n">
        <x:v>1</x:v>
      </x:c>
      <x:c r="G17" t="str">
        <x:v>aircraft lost</x:v>
      </x:c>
      <x:c r="H17" t="str">
        <x:v>AIB: spatial disorientation was primary cause; fixation and a degraded GPS satellite-tracking system substantially contributed. GPS degradation followed absence of satellite tracking data.</x:v>
      </x:c>
      <x:c r="I17" t="str">
        <x:v>human_factors</x:v>
      </x:c>
      <x:c r="J17" t="str">
        <x:v>official final finding</x:v>
      </x:c>
      <x:c r="K17" t="str">
        <x:v>confirmed contributory</x:v>
      </x:c>
      <x:c r="L17" t="str">
        <x:v>non-hostile</x:v>
      </x:c>
      <x:c r="M17" t="str">
        <x:v>Air Combat Command AIB</x:v>
      </x:c>
      <x:c r="N17" t="str">
        <x:v>Critical historical comparator: documented GPS degradation contributed to a fatal NATO military crash before 2026</x:v>
      </x:c>
      <x:c r="O17" t="str">
        <x:v>https://www.acc.af.mil/News/Article-Display/Article/2651324/acc-releases-accident-investigation-board-report-for-f-16-crash-in-the-hiawatha/</x:v>
      </x:c>
      <x:c r="P17" t="str">
        <x:v>Do NOT label as hostile jamming: official source says degraded GPS tracking, not cause of degradation</x:v>
      </x:c>
    </x:row>
    <x:row r="18">
      <x:c r="A18" t="str">
        <x:v>2021-02-18</x:v>
      </x:c>
      <x:c r="B18" t="str">
        <x:v>United States</x:v>
      </x:c>
      <x:c r="C18" t="str">
        <x:v>US Air Force</x:v>
      </x:c>
      <x:c r="D18" t="str">
        <x:v>T-38A</x:v>
      </x:c>
      <x:c r="E18" t="str">
        <x:v>touch-and-go landing accident</x:v>
      </x:c>
      <x:c r="F18" t="n">
        <x:v>0</x:v>
      </x:c>
      <x:c r="G18" t="str">
        <x:v>serious damage</x:v>
      </x:c>
      <x:c r="H18" t="str">
        <x:v>AIB: landing gear raised too early during touch-and-go; aircraft impacted runway before gear fully extended.</x:v>
      </x:c>
      <x:c r="I18" t="str">
        <x:v>human_factors</x:v>
      </x:c>
      <x:c r="J18" t="str">
        <x:v>official final finding</x:v>
      </x:c>
      <x:c r="K18" t="str">
        <x:v>not applicable</x:v>
      </x:c>
      <x:c r="L18" t="str">
        <x:v>non-hostile</x:v>
      </x:c>
      <x:c r="M18" t="str">
        <x:v>Air Force Safety Center AIB index</x:v>
      </x:c>
      <x:c r="N18" t="str">
        <x:v>Conventional training-accident comparator</x:v>
      </x:c>
      <x:c r="O18" t="str">
        <x:v>https://www.safety.af.mil/News/Tag/126008/accident-investigation-board-report/</x:v>
      </x:c>
      <x:c r="P18" t="str">
        <x:v>Approx. $3m damage reported in AIB coverage</x:v>
      </x:c>
    </x:row>
    <x:row r="19">
      <x:c r="A19" t="str">
        <x:v>2021-11-19</x:v>
      </x:c>
      <x:c r="B19" t="str">
        <x:v>United States</x:v>
      </x:c>
      <x:c r="C19" t="str">
        <x:v>US Air Force</x:v>
      </x:c>
      <x:c r="D19" t="str">
        <x:v>2 × T-38C</x:v>
      </x:c>
      <x:c r="E19" t="str">
        <x:v>formation-landing collision</x:v>
      </x:c>
      <x:c r="F19" t="n">
        <x:v>1</x:v>
      </x:c>
      <x:c r="G19" t="str">
        <x:v>2 aircraft involved</x:v>
      </x:c>
      <x:c r="H19" t="str">
        <x:v>AIB documents collision during landing phase following formation approach; detailed factor coding retained as collision pending full opinion extraction.</x:v>
      </x:c>
      <x:c r="I19" t="str">
        <x:v>collision</x:v>
      </x:c>
      <x:c r="J19" t="str">
        <x:v>official final report</x:v>
      </x:c>
      <x:c r="K19" t="str">
        <x:v>no evidence either way</x:v>
      </x:c>
      <x:c r="L19" t="str">
        <x:v>non-hostile</x:v>
      </x:c>
      <x:c r="M19" t="str">
        <x:v>USAF AIB</x:v>
      </x:c>
      <x:c r="N19" t="str">
        <x:v>Fatal multi-aircraft training comparator</x:v>
      </x:c>
      <x:c r="O19" t="str">
        <x:v>https://www.afjag.af.mil/Portals/77/AIB-Reports/2021/19NOV21%20T-38%20Laughlin%20AIB%20Report.pdf</x:v>
      </x:c>
      <x:c r="P19" t="str">
        <x:v>One student pilot killed; two instructor pilots injured</x:v>
      </x:c>
    </x:row>
    <x:row r="20">
      <x:c r="A20" t="str">
        <x:v>2022-03-23</x:v>
      </x:c>
      <x:c r="B20" t="str">
        <x:v>United States</x:v>
      </x:c>
      <x:c r="C20" t="str">
        <x:v>US Air Force / ANG</x:v>
      </x:c>
      <x:c r="D20" t="str">
        <x:v>F-16CM</x:v>
      </x:c>
      <x:c r="E20" t="str">
        <x:v>training crash</x:v>
      </x:c>
      <x:c r="F20" t="n">
        <x:v>0</x:v>
      </x:c>
      <x:c r="G20" t="str">
        <x:v>aircraft lost</x:v>
      </x:c>
      <x:c r="H20" t="str">
        <x:v>AIB: during low/slow intercept training the pilot incorrectly assessed departure from controlled flight and ejected from a controllable aircraft.</x:v>
      </x:c>
      <x:c r="I20" t="str">
        <x:v>human_factors</x:v>
      </x:c>
      <x:c r="J20" t="str">
        <x:v>official final finding</x:v>
      </x:c>
      <x:c r="K20" t="str">
        <x:v>not applicable</x:v>
      </x:c>
      <x:c r="L20" t="str">
        <x:v>non-hostile</x:v>
      </x:c>
      <x:c r="M20" t="str">
        <x:v>Air Combat Command AIB</x:v>
      </x:c>
      <x:c r="N20" t="str">
        <x:v>Clear non-system fighter-loss comparator</x:v>
      </x:c>
      <x:c r="O20" t="str">
        <x:v>https://www.acc.af.mil/News/Article/3229388/acc-releases-accident-investigation-board-report-for-f-16cm-crash-in-louisiana/</x:v>
      </x:c>
      <x:c r="P20" t="str">
        <x:v>Pilot sustained minor injuries</x:v>
      </x:c>
    </x:row>
    <x:row r="21">
      <x:c r="A21" t="str">
        <x:v>2024-03-20</x:v>
      </x:c>
      <x:c r="B21" t="str">
        <x:v>Greece</x:v>
      </x:c>
      <x:c r="C21" t="str">
        <x:v>Hellenic Air Force</x:v>
      </x:c>
      <x:c r="D21" t="str">
        <x:v>F-16C Block 52</x:v>
      </x:c>
      <x:c r="E21" t="str">
        <x:v>routine-training crash</x:v>
      </x:c>
      <x:c r="F21" t="n">
        <x:v>0</x:v>
      </x:c>
      <x:c r="G21" t="str">
        <x:v>aircraft lost</x:v>
      </x:c>
      <x:c r="H21" t="str">
        <x:v>Aircraft crashed near Psathoura during routine training; pilot ejected. Public cause not established in sources collected in this pass.</x:v>
      </x:c>
      <x:c r="I21" t="str">
        <x:v>unknown_investigation</x:v>
      </x:c>
      <x:c r="J21" t="str">
        <x:v>credible occurrence / official follow-up required</x:v>
      </x:c>
      <x:c r="K21" t="str">
        <x:v>no evidence either way</x:v>
      </x:c>
      <x:c r="L21" t="str">
        <x:v>non-hostile</x:v>
      </x:c>
      <x:c r="M21" t="str">
        <x:v>Event confirmed; official causal report still to locate</x:v>
      </x:c>
      <x:c r="N21" t="str">
        <x:v>NATO European fighter-loss comparator</x:v>
      </x:c>
      <x:c r="O21" t="str">
        <x:v>https://www.haf.gr/2024/03/anakoinosi-typoy-ptosi-a-f-f-16-stin-periochi-psathoyras/</x:v>
      </x:c>
      <x:c r="P21" t="str">
        <x:v>Official HAF URL retained for source reconciliation</x:v>
      </x:c>
    </x:row>
    <x:row r="22">
      <x:c r="A22" t="str">
        <x:v>2025-01-28</x:v>
      </x:c>
      <x:c r="B22" t="str">
        <x:v>United States</x:v>
      </x:c>
      <x:c r="C22" t="str">
        <x:v>US Air Force</x:v>
      </x:c>
      <x:c r="D22" t="str">
        <x:v>F-35A Lightning II</x:v>
      </x:c>
      <x:c r="E22" t="str">
        <x:v>training-flight crash</x:v>
      </x:c>
      <x:c r="F22" t="n">
        <x:v>0</x:v>
      </x:c>
      <x:c r="G22" t="str">
        <x:v>aircraft lost</x:v>
      </x:c>
      <x:c r="H22" t="str">
        <x:v>AIB: water-contaminated hydraulic fluid froze; landing gear failed to retract/extend correctly, Weight-on-Wheels logic switched aircraft to on-ground flight-control law while airborne and aircraft became uncontrollable.</x:v>
      </x:c>
      <x:c r="I22" t="str">
        <x:v>structural_mechanical</x:v>
      </x:c>
      <x:c r="J22" t="str">
        <x:v>official final finding</x:v>
      </x:c>
      <x:c r="K22" t="str">
        <x:v>confirmed contributory</x:v>
      </x:c>
      <x:c r="L22" t="str">
        <x:v>non-hostile</x:v>
      </x:c>
      <x:c r="M22" t="str">
        <x:v>Pacific Air Forces AIB</x:v>
      </x:c>
      <x:c r="N22" t="str">
        <x:v>Excellent modern comparator where physical contamination propagated into digital flight-control logic</x:v>
      </x:c>
      <x:c r="O22" t="str">
        <x:v>https://www.eielson.af.mil/News/Display/Article/4286209/press-release-aircraft-accident-investigation-report-released-for-eielson-f-35/</x:v>
      </x:c>
      <x:c r="P22" t="str">
        <x:v>$196.5m aircraft destroyed; pilot ejected</x:v>
      </x:c>
    </x:row>
    <x:row r="23">
      <x:c r="A23" t="str">
        <x:v>2025-05-07</x:v>
      </x:c>
      <x:c r="B23" t="str">
        <x:v>Finland</x:v>
      </x:c>
      <x:c r="C23" t="str">
        <x:v>Finnish Air Force / Lapland Air Wing</x:v>
      </x:c>
      <x:c r="D23" t="str">
        <x:v>F/A-18 Hornet HN-409</x:v>
      </x:c>
      <x:c r="E23" t="str">
        <x:v>display-practice crash</x:v>
      </x:c>
      <x:c r="F23" t="n">
        <x:v>0</x:v>
      </x:c>
      <x:c r="G23" t="str">
        <x:v>aircraft lost</x:v>
      </x:c>
      <x:c r="H23" t="str">
        <x:v>Official occurrence: aircraft crashed five minutes into display-practice sortie; pilot ejected with minor injury. Cause not supplied in occurrence release.</x:v>
      </x:c>
      <x:c r="I23" t="str">
        <x:v>unknown_investigation</x:v>
      </x:c>
      <x:c r="J23" t="str">
        <x:v>official occurrence</x:v>
      </x:c>
      <x:c r="K23" t="str">
        <x:v>no evidence either way</x:v>
      </x:c>
      <x:c r="L23" t="str">
        <x:v>non-hostile</x:v>
      </x:c>
      <x:c r="M23" t="str">
        <x:v>Finnish Government / Air Force official release</x:v>
      </x:c>
      <x:c r="N23" t="str">
        <x:v>Nordic NATO fighter-loss comparator</x:v>
      </x:c>
      <x:c r="O23" t="str">
        <x:v>https://valtioneuvosto.fi/en/-/1951206/finnish-air-force-f-a-18-hornet-fighter-suffers-an-accident-in-rovaniemi</x:v>
      </x:c>
      <x:c r="P23" t="str">
        <x:v>Cause needs later investigation backfill</x:v>
      </x:c>
    </x:row>
    <x:row r="24">
      <x:c r="A24" t="str">
        <x:v>2025-08-20</x:v>
      </x:c>
      <x:c r="B24" t="str">
        <x:v>United States</x:v>
      </x:c>
      <x:c r="C24" t="str">
        <x:v>US Navy</x:v>
      </x:c>
      <x:c r="D24" t="str">
        <x:v>F/A-18E Super Hornet</x:v>
      </x:c>
      <x:c r="E24" t="str">
        <x:v>routine-training crash</x:v>
      </x:c>
      <x:c r="F24" t="n">
        <x:v>0</x:v>
      </x:c>
      <x:c r="G24" t="str">
        <x:v>aircraft lost</x:v>
      </x:c>
      <x:c r="H24" t="str">
        <x:v>Pilot ejected during routine training off Virginia; cause under investigation in the Navy statement reproduced by USNI.</x:v>
      </x:c>
      <x:c r="I24" t="str">
        <x:v>unknown_investigation</x:v>
      </x:c>
      <x:c r="J24" t="str">
        <x:v>official occurrence via Navy statement</x:v>
      </x:c>
      <x:c r="K24" t="str">
        <x:v>no evidence either way</x:v>
      </x:c>
      <x:c r="L24" t="str">
        <x:v>non-hostile</x:v>
      </x:c>
      <x:c r="M24" t="str">
        <x:v>US Navy statement</x:v>
      </x:c>
      <x:c r="N24" t="str">
        <x:v>Recent pre-2026 US naval aviation-loss comparator</x:v>
      </x:c>
      <x:c r="O24" t="str">
        <x:v>https://news.usni.org/2025/08/20/pilot-safe-after-super-hornet-crash-off-virginia-beach</x:v>
      </x:c>
      <x:c r="P24" t="str">
        <x:v>Official Navy release text reproduced in source</x:v>
      </x:c>
    </x:row>
    <x:row r="25">
      <x:c r="A25" t="str">
        <x:v>2025-08-28</x:v>
      </x:c>
      <x:c r="B25" t="str">
        <x:v>Poland</x:v>
      </x:c>
      <x:c r="C25" t="str">
        <x:v>Polish Air Force</x:v>
      </x:c>
      <x:c r="D25" t="str">
        <x:v>F-16C</x:v>
      </x:c>
      <x:c r="E25" t="str">
        <x:v>air-show rehearsal crash</x:v>
      </x:c>
      <x:c r="F25" t="n">
        <x:v>1</x:v>
      </x:c>
      <x:c r="G25" t="str">
        <x:v>aircraft lost</x:v>
      </x:c>
      <x:c r="H25" t="str">
        <x:v>Crashed during rehearsal/training manoeuvre at Radom; investigation announced. No causal finding coded without official final report.</x:v>
      </x:c>
      <x:c r="I25" t="str">
        <x:v>unknown_investigation</x:v>
      </x:c>
      <x:c r="J25" t="str">
        <x:v>official/agency occurrence</x:v>
      </x:c>
      <x:c r="K25" t="str">
        <x:v>no evidence either way</x:v>
      </x:c>
      <x:c r="L25" t="str">
        <x:v>non-hostile</x:v>
      </x:c>
      <x:c r="M25" t="str">
        <x:v>Polish armed-forces statements reported by PAP; investigation pending</x:v>
      </x:c>
      <x:c r="N25" t="str">
        <x:v>Fatal NATO European fighter-loss comparator immediately pre-2026</x:v>
      </x:c>
      <x:c r="O25" t="str">
        <x:v>https://www.pap.pl/en/news/poland-cancels-air-show-after-f-16-pilot-dies-during-rehearsal</x:v>
      </x:c>
      <x:c r="P25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55" hidden="0" customWidth="1"/>
  </x:cols>
  <x:sheetData>
    <x:row r="1">
      <x:c r="A1" s="36" t="str">
        <x:v>Year</x:v>
      </x:c>
      <x:c r="B1" s="36" t="str">
        <x:v>UK official inquiry collection checked</x:v>
      </x:c>
      <x:c r="C1" s="36" t="str">
        <x:v>NATO-wide coverage</x:v>
      </x:c>
      <x:c r="D1" s="36" t="str">
        <x:v>Interpretation</x:v>
      </x:c>
    </x:row>
    <x:row r="2">
      <x:c r="A2" s="11" t="n">
        <x:v>2016</x:v>
      </x:c>
      <x:c r="B2" s="11" t="str">
        <x:v>seeded</x:v>
      </x:c>
      <x:c r="C2" s="11" t="str">
        <x:v>not complete</x:v>
      </x:c>
      <x:c r="D2" s="11" t="str">
        <x:v>Do not use row count as NATO rate</x:v>
      </x:c>
    </x:row>
    <x:row r="3">
      <x:c r="A3" s="11" t="n">
        <x:v>2017</x:v>
      </x:c>
      <x:c r="B3" s="11" t="str">
        <x:v>seeded</x:v>
      </x:c>
      <x:c r="C3" s="11" t="str">
        <x:v>not complete</x:v>
      </x:c>
      <x:c r="D3" s="11" t="str">
        <x:v>Do not use row count as NATO rate</x:v>
      </x:c>
    </x:row>
    <x:row r="4">
      <x:c r="A4" s="11" t="n">
        <x:v>2018</x:v>
      </x:c>
      <x:c r="B4" s="11" t="str">
        <x:v>seeded</x:v>
      </x:c>
      <x:c r="C4" s="11" t="str">
        <x:v>not complete</x:v>
      </x:c>
      <x:c r="D4" s="11" t="str">
        <x:v>Do not use row count as NATO rate</x:v>
      </x:c>
    </x:row>
    <x:row r="5">
      <x:c r="A5" s="11" t="n">
        <x:v>2019</x:v>
      </x:c>
      <x:c r="B5" s="11" t="str">
        <x:v>collection checked; no row yet</x:v>
      </x:c>
      <x:c r="C5" s="11" t="str">
        <x:v>not complete</x:v>
      </x:c>
      <x:c r="D5" s="11" t="str">
        <x:v>Absence in current ledger is not zero accidents</x:v>
      </x:c>
    </x:row>
    <x:row r="6">
      <x:c r="A6" s="11" t="n">
        <x:v>2020</x:v>
      </x:c>
      <x:c r="B6" s="11" t="str">
        <x:v>collection checked; no row yet</x:v>
      </x:c>
      <x:c r="C6" s="11" t="str">
        <x:v>not complete</x:v>
      </x:c>
      <x:c r="D6" s="11" t="str">
        <x:v>Absence in current ledger is not zero accidents</x:v>
      </x:c>
    </x:row>
    <x:row r="7">
      <x:c r="A7" s="11" t="n">
        <x:v>2021</x:v>
      </x:c>
      <x:c r="B7" s="11" t="str">
        <x:v>seeded</x:v>
      </x:c>
      <x:c r="C7" s="11" t="str">
        <x:v>not complete</x:v>
      </x:c>
      <x:c r="D7" s="11" t="str">
        <x:v>Includes F-35B loss; parachute fatality separately flagged</x:v>
      </x:c>
    </x:row>
    <x:row r="8">
      <x:c r="A8" s="11" t="n">
        <x:v>2022</x:v>
      </x:c>
      <x:c r="B8" s="11" t="str">
        <x:v>collection checked; no qualifying aircraft-loss row yet</x:v>
      </x:c>
      <x:c r="C8" s="11" t="str">
        <x:v>not complete</x:v>
      </x:c>
      <x:c r="D8" s="11" t="str">
        <x:v>Needs other NATO members</x:v>
      </x:c>
    </x:row>
    <x:row r="9">
      <x:c r="A9" s="11" t="n">
        <x:v>2023</x:v>
      </x:c>
      <x:c r="B9" s="11" t="str">
        <x:v>collection checked; no qualifying aircraft-loss row yet</x:v>
      </x:c>
      <x:c r="C9" s="11" t="str">
        <x:v>not complete</x:v>
      </x:c>
      <x:c r="D9" s="11" t="str">
        <x:v>Needs other NATO members</x:v>
      </x:c>
    </x:row>
    <x:row r="10">
      <x:c r="A10" s="11" t="n">
        <x:v>2024</x:v>
      </x:c>
      <x:c r="B10" s="11" t="str">
        <x:v>seeded</x:v>
      </x:c>
      <x:c r="C10" s="11" t="str">
        <x:v>not complete</x:v>
      </x:c>
      <x:c r="D10" s="11" t="str">
        <x:v>Queen Elizabeth air accident report now available</x:v>
      </x:c>
    </x:row>
    <x:row r="11">
      <x:c r="A11" s="11" t="n">
        <x:v>2025</x:v>
      </x:c>
      <x:c r="B11" s="11" t="str">
        <x:v>collection checked; no qualifying UK row yet</x:v>
      </x:c>
      <x:c r="C11" s="11" t="str">
        <x:v>not complete</x:v>
      </x:c>
      <x:c r="D11" s="11" t="str">
        <x:v>Needs other NATO members</x:v>
      </x:c>
    </x:row>
    <x:row r="12">
      <x:c r="A12" s="11" t="n">
        <x:v>2026</x:v>
      </x:c>
      <x:c r="B12" s="11" t="str">
        <x:v>observation dataset separate</x:v>
      </x:c>
      <x:c r="C12" s="11" t="str">
        <x:v>in progress</x:v>
      </x:c>
      <x:c r="D12" s="11" t="str">
        <x:v>Post-28-Feb observation list requires official-source reconciliation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62" hidden="0" customWidth="1"/>
    <x:col min="4" max="4" width="58" hidden="0" customWidth="1"/>
  </x:cols>
  <x:sheetData>
    <x:row r="1">
      <x:c r="A1" s="36" t="str">
        <x:v>Jurisdiction/source</x:v>
      </x:c>
      <x:c r="B1" s="36" t="str">
        <x:v>Status</x:v>
      </x:c>
      <x:c r="C1" s="36" t="str">
        <x:v>What it gives us</x:v>
      </x:c>
      <x:c r="D1" s="36" t="str">
        <x:v>URL</x:v>
      </x:c>
    </x:row>
    <x:row r="2">
      <x:c r="A2" s="11" t="str">
        <x:v>UK MOD / Defence Safety Authority Service Inquiries</x:v>
      </x:c>
      <x:c r="B2" s="11" t="str">
        <x:v>active; seeded</x:v>
      </x:c>
      <x:c r="C2" s="11" t="str">
        <x:v>Final military accident investigations and causal findings</x:v>
      </x:c>
      <x:c r="D2" s="11" t="str">
        <x:v>https://www.gov.uk/government/collections/service-inquiry-si</x:v>
      </x:c>
    </x:row>
    <x:row r="3">
      <x:c r="A3" s="11" t="str">
        <x:v>UK Military Aircraft Accident Summaries</x:v>
      </x:c>
      <x:c r="B3" s="11" t="str">
        <x:v>active historical archive</x:v>
      </x:c>
      <x:c r="C3" s="11" t="str">
        <x:v>Completed RAF serious-accident summaries; &gt;300 held centrally since 1979 per MOD collection</x:v>
      </x:c>
      <x:c r="D3" s="11" t="str">
        <x:v>https://www.gov.uk/government/collections/service-inquiry-si</x:v>
      </x:c>
    </x:row>
    <x:row r="4">
      <x:c r="A4" s="11" t="str">
        <x:v>Other NATO national military safety authorities</x:v>
      </x:c>
      <x:c r="B4" s="11" t="str">
        <x:v>to backfill</x:v>
      </x:c>
      <x:c r="C4" s="11" t="str">
        <x:v>Needed for denominator beyond UK; country-by-country official source mapping</x:v>
      </x:c>
      <x:c r="D4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4" hidden="0" customWidth="1"/>
    <x:col min="5" max="5" width="28" hidden="0" customWidth="1"/>
    <x:col min="6" max="6" width="65" hidden="0" customWidth="1"/>
    <x:col min="7" max="7" width="65" hidden="0" customWidth="1"/>
    <x:col min="8" max="8" width="58" hidden="0" customWidth="1"/>
  </x:cols>
  <x:sheetData>
    <x:row r="1">
      <x:c r="A1" s="42" t="str">
        <x:v>Date</x:v>
      </x:c>
      <x:c r="B1" s="42" t="str">
        <x:v>Aircraft</x:v>
      </x:c>
      <x:c r="C1" s="42" t="str">
        <x:v>Country</x:v>
      </x:c>
      <x:c r="D1" s="42" t="str">
        <x:v>Information-system element</x:v>
      </x:c>
      <x:c r="E1" s="42" t="str">
        <x:v>Role in accident</x:v>
      </x:c>
      <x:c r="F1" s="42" t="str">
        <x:v>What the official finding DOES say</x:v>
      </x:c>
      <x:c r="G1" s="42" t="str">
        <x:v>What it DOES NOT establish</x:v>
      </x:c>
      <x:c r="H1" s="42" t="str">
        <x:v>Source URL</x:v>
      </x:c>
    </x:row>
    <x:row r="2">
      <x:c r="A2" s="11" t="str">
        <x:v>2017-06-21</x:v>
      </x:c>
      <x:c r="B2" s="11" t="str">
        <x:v>RQ-4B Global Hawk</x:v>
      </x:c>
      <x:c r="C2" s="11" t="str">
        <x:v>United States</x:v>
      </x:c>
      <x:c r="D2" s="11" t="str">
        <x:v>navigation data device / navigator</x:v>
      </x:c>
      <x:c r="E2" s="11" t="str">
        <x:v>causal</x:v>
      </x:c>
      <x:c r="F2" s="11" t="str">
        <x:v>ACC says the aircraft broke up after experiencing issues with a navigational data device/navigator.</x:v>
      </x:c>
      <x:c r="G2" s="11" t="str">
        <x:v>No evidence in this source that external interference caused the device issue.</x:v>
      </x:c>
      <x:c r="H2" s="11" t="str">
        <x:v>https://www.acc.af.mil/News/Tag/69171/aib/</x:v>
      </x:c>
    </x:row>
    <x:row r="3">
      <x:c r="A3" s="11" t="str">
        <x:v>2020-12-08</x:v>
      </x:c>
      <x:c r="B3" s="11" t="str">
        <x:v>F-16C</x:v>
      </x:c>
      <x:c r="C3" s="11" t="str">
        <x:v>United States</x:v>
      </x:c>
      <x:c r="D3" s="11" t="str">
        <x:v>degraded GPS satellite tracking</x:v>
      </x:c>
      <x:c r="E3" s="11" t="str">
        <x:v>substantially contributory</x:v>
      </x:c>
      <x:c r="F3" s="11" t="str">
        <x:v>AIB says GPS degradation from absence of satellite tracking data contributed alongside fixation; primary cause was spatial disorientation.</x:v>
      </x:c>
      <x:c r="G3" s="11" t="str">
        <x:v>Does not say jamming, spoofing or hostile EW caused the GPS degradation.</x:v>
      </x:c>
      <x:c r="H3" s="11" t="str">
        <x:v>https://www.acc.af.mil/News/Article-Display/Article/2651324/acc-releases-accident-investigation-board-report-for-f-16-crash-in-the-hiawatha/</x:v>
      </x:c>
    </x:row>
    <x:row r="4">
      <x:c r="A4" s="11" t="str">
        <x:v>2025-01-28</x:v>
      </x:c>
      <x:c r="B4" s="11" t="str">
        <x:v>F-35A</x:v>
      </x:c>
      <x:c r="C4" s="11" t="str">
        <x:v>United States</x:v>
      </x:c>
      <x:c r="D4" s="11" t="str">
        <x:v>Weight-on-Wheels / flight-control law</x:v>
      </x:c>
      <x:c r="E4" s="11" t="str">
        <x:v>failure propagation / contributory mechanism</x:v>
      </x:c>
      <x:c r="F4" s="11" t="str">
        <x:v>Frozen water-contaminated hydraulic fluid caused landing-gear sensor state to indicate on-ground, switching flight-control law while airborne.</x:v>
      </x:c>
      <x:c r="G4" s="11" t="str">
        <x:v>Root cause was physical contamination/freezing, not a cyber or external information attack.</x:v>
      </x:c>
      <x:c r="H4" s="11" t="str">
        <x:v>https://www.eielson.af.mil/News/Display/Article/4286209/press-release-aircraft-accident-investigation-report-released-for-eielson-f-35/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32" hidden="0" customWidth="1"/>
    <x:col min="7" max="7" width="28" hidden="0" customWidth="1"/>
    <x:col min="9" max="9" width="28" hidden="0" customWidth="1"/>
    <x:col min="10" max="10" width="64" hidden="0" customWidth="1"/>
  </x:cols>
  <x:sheetData>
    <x:row r="1">
      <x:c r="A1" s="42" t="str">
        <x:v>Year</x:v>
      </x:c>
      <x:c r="B1" s="42" t="str">
        <x:v>Populated events</x:v>
      </x:c>
      <x:c r="C1" s="42" t="str">
        <x:v>Fatalities recorded</x:v>
      </x:c>
      <x:c r="D1" s="42" t="str">
        <x:v>Unknown-cause rows</x:v>
      </x:c>
      <x:c r="E1" s="42" t="str">
        <x:v>Human-factor rows</x:v>
      </x:c>
      <x:c r="F1" s="42" t="str">
        <x:v>Info/digital causal or contributory rows</x:v>
      </x:c>
      <x:c r="G1" s="42" t="str">
        <x:v>Coverage status</x:v>
      </x:c>
      <x:c r="I1" s="47" t="str">
        <x:v>READ THIS BEFORE GRAPHING</x:v>
      </x:c>
      <x:c r="J1" s="11" t="str"/>
    </x:row>
    <x:row r="2">
      <x:c r="A2" s="11" t="n">
        <x:v>2016</x:v>
      </x:c>
      <x:c r="B2" s="11" t="n">
        <x:f>COUNTIFS(Military_Official_Ledger!$A$2:$A$500,"&gt;=2016-01-01",Military_Official_Ledger!$A$2:$A$500,"&lt;=2016-12-31")</x:f>
        <x:v>4</x:v>
      </x:c>
      <x:c r="C2" s="11" t="n">
        <x:f>SUMIFS(Military_Official_Ledger!$F$2:$F$500,Military_Official_Ledger!$A$2:$A$500,"&gt;=2016-01-01",Military_Official_Ledger!$A$2:$A$500,"&lt;=2016-12-31")</x:f>
        <x:v>1</x:v>
      </x:c>
      <x:c r="D2" s="11" t="n">
        <x:f>COUNTIFS(Military_Official_Ledger!$A$2:$A$500,"&gt;=2016-01-01",Military_Official_Ledger!$A$2:$A$500,"&lt;=2016-12-31",Military_Official_Ledger!$I$2:$I$500,"unknown_investigation")</x:f>
        <x:v>3</x:v>
      </x:c>
      <x:c r="E2" s="11" t="n">
        <x:f>COUNTIFS(Military_Official_Ledger!$A$2:$A$500,"&gt;=2016-01-01",Military_Official_Ledger!$A$2:$A$500,"&lt;=2016-12-31",Military_Official_Ledger!$I$2:$I$500,"human_factors")</x:f>
        <x:v>1</x:v>
      </x:c>
      <x:c r="F2" s="11" t="n">
        <x:f>COUNTIFS(Military_Official_Ledger!$A$2:$A$500,"&gt;=2016-01-01",Military_Official_Ledger!$A$2:$A$500,"&lt;=2016-12-31",Military_Official_Ledger!$K$2:$K$500,"confirmed causal")+COUNTIFS(Military_Official_Ledger!$A$2:$A$500,"&gt;=2016-01-01",Military_Official_Ledger!$A$2:$A$500,"&lt;=2016-12-31",Military_Official_Ledger!$K$2:$K$500,"confirmed contributory")</x:f>
        <x:v>0</x:v>
      </x:c>
      <x:c r="G2" s="11" t="str">
        <x:v>partial — not NATO-complete</x:v>
      </x:c>
      <x:c r="I2" s="48" t="str">
        <x:v>Current status</x:v>
      </x:c>
      <x:c r="J2" s="11" t="str">
        <x:v>Substantially populated seed, NOT exhaustive NATO-wide series.</x:v>
      </x:c>
    </x:row>
    <x:row r="3">
      <x:c r="A3" s="11" t="n">
        <x:v>2017</x:v>
      </x:c>
      <x:c r="B3" s="11" t="n">
        <x:f>COUNTIFS(Military_Official_Ledger!$A$2:$A$500,"&gt;=2017-01-01",Military_Official_Ledger!$A$2:$A$500,"&lt;=2017-12-31")</x:f>
        <x:v>4</x:v>
      </x:c>
      <x:c r="C3" s="11" t="n">
        <x:f>SUMIFS(Military_Official_Ledger!$F$2:$F$500,Military_Official_Ledger!$A$2:$A$500,"&gt;=2017-01-01",Military_Official_Ledger!$A$2:$A$500,"&lt;=2017-12-31")</x:f>
        <x:v>0</x:v>
      </x:c>
      <x:c r="D3" s="11" t="n">
        <x:f>COUNTIFS(Military_Official_Ledger!$A$2:$A$500,"&gt;=2017-01-01",Military_Official_Ledger!$A$2:$A$500,"&lt;=2017-12-31",Military_Official_Ledger!$I$2:$I$500,"unknown_investigation")</x:f>
        <x:v>2</x:v>
      </x:c>
      <x:c r="E3" s="11" t="n">
        <x:f>COUNTIFS(Military_Official_Ledger!$A$2:$A$500,"&gt;=2017-01-01",Military_Official_Ledger!$A$2:$A$500,"&lt;=2017-12-31",Military_Official_Ledger!$I$2:$I$500,"human_factors")</x:f>
        <x:v>0</x:v>
      </x:c>
      <x:c r="F3" s="11" t="n">
        <x:f>COUNTIFS(Military_Official_Ledger!$A$2:$A$500,"&gt;=2017-01-01",Military_Official_Ledger!$A$2:$A$500,"&lt;=2017-12-31",Military_Official_Ledger!$K$2:$K$500,"confirmed causal")+COUNTIFS(Military_Official_Ledger!$A$2:$A$500,"&gt;=2017-01-01",Military_Official_Ledger!$A$2:$A$500,"&lt;=2017-12-31",Military_Official_Ledger!$K$2:$K$500,"confirmed contributory")</x:f>
        <x:v>1</x:v>
      </x:c>
      <x:c r="G3" s="11" t="str">
        <x:v>partial — not NATO-complete</x:v>
      </x:c>
      <x:c r="I3" s="48" t="str">
        <x:v>Safe use</x:v>
      </x:c>
      <x:c r="J3" s="11" t="str">
        <x:v>Use rows as identified comparators and causal examples.</x:v>
      </x:c>
    </x:row>
    <x:row r="4">
      <x:c r="A4" s="11" t="n">
        <x:v>2018</x:v>
      </x:c>
      <x:c r="B4" s="11" t="n">
        <x:f>COUNTIFS(Military_Official_Ledger!$A$2:$A$500,"&gt;=2018-01-01",Military_Official_Ledger!$A$2:$A$500,"&lt;=2018-12-31")</x:f>
        <x:v>2</x:v>
      </x:c>
      <x:c r="C4" s="11" t="n">
        <x:f>SUMIFS(Military_Official_Ledger!$F$2:$F$500,Military_Official_Ledger!$A$2:$A$500,"&gt;=2018-01-01",Military_Official_Ledger!$A$2:$A$500,"&lt;=2018-12-31")</x:f>
        <x:v>1</x:v>
      </x:c>
      <x:c r="D4" s="11" t="n">
        <x:f>COUNTIFS(Military_Official_Ledger!$A$2:$A$500,"&gt;=2018-01-01",Military_Official_Ledger!$A$2:$A$500,"&lt;=2018-12-31",Military_Official_Ledger!$I$2:$I$500,"unknown_investigation")</x:f>
        <x:v>1</x:v>
      </x:c>
      <x:c r="E4" s="11" t="n">
        <x:f>COUNTIFS(Military_Official_Ledger!$A$2:$A$500,"&gt;=2018-01-01",Military_Official_Ledger!$A$2:$A$500,"&lt;=2018-12-31",Military_Official_Ledger!$I$2:$I$500,"human_factors")</x:f>
        <x:v>1</x:v>
      </x:c>
      <x:c r="F4" s="11" t="n">
        <x:f>COUNTIFS(Military_Official_Ledger!$A$2:$A$500,"&gt;=2018-01-01",Military_Official_Ledger!$A$2:$A$500,"&lt;=2018-12-31",Military_Official_Ledger!$K$2:$K$500,"confirmed causal")+COUNTIFS(Military_Official_Ledger!$A$2:$A$500,"&gt;=2018-01-01",Military_Official_Ledger!$A$2:$A$500,"&lt;=2018-12-31",Military_Official_Ledger!$K$2:$K$500,"confirmed contributory")</x:f>
        <x:v>0</x:v>
      </x:c>
      <x:c r="G4" s="11" t="str">
        <x:v>partial — not NATO-complete</x:v>
      </x:c>
      <x:c r="I4" s="48" t="str">
        <x:v>Unsafe use</x:v>
      </x:c>
      <x:c r="J4" s="11" t="str">
        <x:v>Do not yet compare raw annual counts as accident rates.</x:v>
      </x:c>
    </x:row>
    <x:row r="5">
      <x:c r="A5" s="11" t="n">
        <x:v>2019</x:v>
      </x:c>
      <x:c r="B5" s="11" t="n">
        <x:f>COUNTIFS(Military_Official_Ledger!$A$2:$A$500,"&gt;=2019-01-01",Military_Official_Ledger!$A$2:$A$500,"&lt;=2019-12-31")</x:f>
        <x:v>1</x:v>
      </x:c>
      <x:c r="C5" s="11" t="n">
        <x:f>SUMIFS(Military_Official_Ledger!$F$2:$F$500,Military_Official_Ledger!$A$2:$A$500,"&gt;=2019-01-01",Military_Official_Ledger!$A$2:$A$500,"&lt;=2019-12-31")</x:f>
        <x:v>2</x:v>
      </x:c>
      <x:c r="D5" s="11" t="n">
        <x:f>COUNTIFS(Military_Official_Ledger!$A$2:$A$500,"&gt;=2019-01-01",Military_Official_Ledger!$A$2:$A$500,"&lt;=2019-12-31",Military_Official_Ledger!$I$2:$I$500,"unknown_investigation")</x:f>
        <x:v>0</x:v>
      </x:c>
      <x:c r="E5" s="11" t="n">
        <x:f>COUNTIFS(Military_Official_Ledger!$A$2:$A$500,"&gt;=2019-01-01",Military_Official_Ledger!$A$2:$A$500,"&lt;=2019-12-31",Military_Official_Ledger!$I$2:$I$500,"human_factors")</x:f>
        <x:v>1</x:v>
      </x:c>
      <x:c r="F5" s="11" t="n">
        <x:f>COUNTIFS(Military_Official_Ledger!$A$2:$A$500,"&gt;=2019-01-01",Military_Official_Ledger!$A$2:$A$500,"&lt;=2019-12-31",Military_Official_Ledger!$K$2:$K$500,"confirmed causal")+COUNTIFS(Military_Official_Ledger!$A$2:$A$500,"&gt;=2019-01-01",Military_Official_Ledger!$A$2:$A$500,"&lt;=2019-12-31",Military_Official_Ledger!$K$2:$K$500,"confirmed contributory")</x:f>
        <x:v>0</x:v>
      </x:c>
      <x:c r="G5" s="11" t="str">
        <x:v>partial — not NATO-complete</x:v>
      </x:c>
      <x:c r="I5" s="48" t="str">
        <x:v>Key finding already supported</x:v>
      </x:c>
      <x:c r="J5" s="11" t="str">
        <x:v>Information/navigation-system involvement in military accidents predates 2026.</x:v>
      </x:c>
    </x:row>
    <x:row r="6">
      <x:c r="A6" s="11" t="n">
        <x:v>2020</x:v>
      </x:c>
      <x:c r="B6" s="11" t="n">
        <x:f>COUNTIFS(Military_Official_Ledger!$A$2:$A$500,"&gt;=2020-01-01",Military_Official_Ledger!$A$2:$A$500,"&lt;=2020-12-31")</x:f>
        <x:v>2</x:v>
      </x:c>
      <x:c r="C6" s="11" t="n">
        <x:f>SUMIFS(Military_Official_Ledger!$F$2:$F$500,Military_Official_Ledger!$A$2:$A$500,"&gt;=2020-01-01",Military_Official_Ledger!$A$2:$A$500,"&lt;=2020-12-31")</x:f>
        <x:v>2</x:v>
      </x:c>
      <x:c r="D6" s="11" t="n">
        <x:f>COUNTIFS(Military_Official_Ledger!$A$2:$A$500,"&gt;=2020-01-01",Military_Official_Ledger!$A$2:$A$500,"&lt;=2020-12-31",Military_Official_Ledger!$I$2:$I$500,"unknown_investigation")</x:f>
        <x:v>0</x:v>
      </x:c>
      <x:c r="E6" s="11" t="n">
        <x:f>COUNTIFS(Military_Official_Ledger!$A$2:$A$500,"&gt;=2020-01-01",Military_Official_Ledger!$A$2:$A$500,"&lt;=2020-12-31",Military_Official_Ledger!$I$2:$I$500,"human_factors")</x:f>
        <x:v>2</x:v>
      </x:c>
      <x:c r="F6" s="11" t="n">
        <x:f>COUNTIFS(Military_Official_Ledger!$A$2:$A$500,"&gt;=2020-01-01",Military_Official_Ledger!$A$2:$A$500,"&lt;=2020-12-31",Military_Official_Ledger!$K$2:$K$500,"confirmed causal")+COUNTIFS(Military_Official_Ledger!$A$2:$A$500,"&gt;=2020-01-01",Military_Official_Ledger!$A$2:$A$500,"&lt;=2020-12-31",Military_Official_Ledger!$K$2:$K$500,"confirmed contributory")</x:f>
        <x:v>2</x:v>
      </x:c>
      <x:c r="G6" s="11" t="str">
        <x:v>partial — not NATO-complete</x:v>
      </x:c>
      <x:c r="I6" s="48" t="str">
        <x:v>Critical example</x:v>
      </x:c>
      <x:c r="J6" s="11" t="str">
        <x:v>2020 F-16: degraded GPS tracking was an official substantial contributing factor, but no hostile jamming/spoofing attribution.</x:v>
      </x:c>
    </x:row>
    <x:row r="7">
      <x:c r="A7" s="11" t="n">
        <x:v>2021</x:v>
      </x:c>
      <x:c r="B7" s="11" t="n">
        <x:f>COUNTIFS(Military_Official_Ledger!$A$2:$A$500,"&gt;=2021-01-01",Military_Official_Ledger!$A$2:$A$500,"&lt;=2021-12-31")</x:f>
        <x:v>4</x:v>
      </x:c>
      <x:c r="C7" s="11" t="n">
        <x:f>SUMIFS(Military_Official_Ledger!$F$2:$F$500,Military_Official_Ledger!$A$2:$A$500,"&gt;=2021-01-01",Military_Official_Ledger!$A$2:$A$500,"&lt;=2021-12-31")</x:f>
        <x:v>2</x:v>
      </x:c>
      <x:c r="D7" s="11" t="n">
        <x:f>COUNTIFS(Military_Official_Ledger!$A$2:$A$500,"&gt;=2021-01-01",Military_Official_Ledger!$A$2:$A$500,"&lt;=2021-12-31",Military_Official_Ledger!$I$2:$I$500,"unknown_investigation")</x:f>
        <x:v>0</x:v>
      </x:c>
      <x:c r="E7" s="11" t="n">
        <x:f>COUNTIFS(Military_Official_Ledger!$A$2:$A$500,"&gt;=2021-01-01",Military_Official_Ledger!$A$2:$A$500,"&lt;=2021-12-31",Military_Official_Ledger!$I$2:$I$500,"human_factors")</x:f>
        <x:v>2</x:v>
      </x:c>
      <x:c r="F7" s="11" t="n">
        <x:f>COUNTIFS(Military_Official_Ledger!$A$2:$A$500,"&gt;=2021-01-01",Military_Official_Ledger!$A$2:$A$500,"&lt;=2021-12-31",Military_Official_Ledger!$K$2:$K$500,"confirmed causal")+COUNTIFS(Military_Official_Ledger!$A$2:$A$500,"&gt;=2021-01-01",Military_Official_Ledger!$A$2:$A$500,"&lt;=2021-12-31",Military_Official_Ledger!$K$2:$K$500,"confirmed contributory")</x:f>
        <x:v>0</x:v>
      </x:c>
      <x:c r="G7" s="11" t="str">
        <x:v>partial — not NATO-complete</x:v>
      </x:c>
    </x:row>
    <x:row r="8">
      <x:c r="A8" s="11" t="n">
        <x:v>2022</x:v>
      </x:c>
      <x:c r="B8" s="11" t="n">
        <x:f>COUNTIFS(Military_Official_Ledger!$A$2:$A$500,"&gt;=2022-01-01",Military_Official_Ledger!$A$2:$A$500,"&lt;=2022-12-31")</x:f>
        <x:v>1</x:v>
      </x:c>
      <x:c r="C8" s="11" t="n">
        <x:f>SUMIFS(Military_Official_Ledger!$F$2:$F$500,Military_Official_Ledger!$A$2:$A$500,"&gt;=2022-01-01",Military_Official_Ledger!$A$2:$A$500,"&lt;=2022-12-31")</x:f>
        <x:v>0</x:v>
      </x:c>
      <x:c r="D8" s="11" t="n">
        <x:f>COUNTIFS(Military_Official_Ledger!$A$2:$A$500,"&gt;=2022-01-01",Military_Official_Ledger!$A$2:$A$500,"&lt;=2022-12-31",Military_Official_Ledger!$I$2:$I$500,"unknown_investigation")</x:f>
        <x:v>0</x:v>
      </x:c>
      <x:c r="E8" s="11" t="n">
        <x:f>COUNTIFS(Military_Official_Ledger!$A$2:$A$500,"&gt;=2022-01-01",Military_Official_Ledger!$A$2:$A$500,"&lt;=2022-12-31",Military_Official_Ledger!$I$2:$I$500,"human_factors")</x:f>
        <x:v>1</x:v>
      </x:c>
      <x:c r="F8" s="11" t="n">
        <x:f>COUNTIFS(Military_Official_Ledger!$A$2:$A$500,"&gt;=2022-01-01",Military_Official_Ledger!$A$2:$A$500,"&lt;=2022-12-31",Military_Official_Ledger!$K$2:$K$500,"confirmed causal")+COUNTIFS(Military_Official_Ledger!$A$2:$A$500,"&gt;=2022-01-01",Military_Official_Ledger!$A$2:$A$500,"&lt;=2022-12-31",Military_Official_Ledger!$K$2:$K$500,"confirmed contributory")</x:f>
        <x:v>0</x:v>
      </x:c>
      <x:c r="G8" s="11" t="str">
        <x:v>partial — not NATO-complete</x:v>
      </x:c>
    </x:row>
    <x:row r="9">
      <x:c r="A9" s="11" t="n">
        <x:v>2023</x:v>
      </x:c>
      <x:c r="B9" s="11" t="n">
        <x:f>COUNTIFS(Military_Official_Ledger!$A$2:$A$500,"&gt;=2023-01-01",Military_Official_Ledger!$A$2:$A$500,"&lt;=2023-12-31")</x:f>
        <x:v>0</x:v>
      </x:c>
      <x:c r="C9" s="11" t="n">
        <x:f>SUMIFS(Military_Official_Ledger!$F$2:$F$500,Military_Official_Ledger!$A$2:$A$500,"&gt;=2023-01-01",Military_Official_Ledger!$A$2:$A$500,"&lt;=2023-12-31")</x:f>
        <x:v>0</x:v>
      </x:c>
      <x:c r="D9" s="11" t="n">
        <x:f>COUNTIFS(Military_Official_Ledger!$A$2:$A$500,"&gt;=2023-01-01",Military_Official_Ledger!$A$2:$A$500,"&lt;=2023-12-31",Military_Official_Ledger!$I$2:$I$500,"unknown_investigation")</x:f>
        <x:v>0</x:v>
      </x:c>
      <x:c r="E9" s="11" t="n">
        <x:f>COUNTIFS(Military_Official_Ledger!$A$2:$A$500,"&gt;=2023-01-01",Military_Official_Ledger!$A$2:$A$500,"&lt;=2023-12-31",Military_Official_Ledger!$I$2:$I$500,"human_factors")</x:f>
        <x:v>0</x:v>
      </x:c>
      <x:c r="F9" s="11" t="n">
        <x:f>COUNTIFS(Military_Official_Ledger!$A$2:$A$500,"&gt;=2023-01-01",Military_Official_Ledger!$A$2:$A$500,"&lt;=2023-12-31",Military_Official_Ledger!$K$2:$K$500,"confirmed causal")+COUNTIFS(Military_Official_Ledger!$A$2:$A$500,"&gt;=2023-01-01",Military_Official_Ledger!$A$2:$A$500,"&lt;=2023-12-31",Military_Official_Ledger!$K$2:$K$500,"confirmed contributory")</x:f>
        <x:v>0</x:v>
      </x:c>
      <x:c r="G9" s="11" t="str">
        <x:v>partial — not NATO-complete</x:v>
      </x:c>
    </x:row>
    <x:row r="10">
      <x:c r="A10" s="11" t="n">
        <x:v>2024</x:v>
      </x:c>
      <x:c r="B10" s="11" t="n">
        <x:f>COUNTIFS(Military_Official_Ledger!$A$2:$A$500,"&gt;=2024-01-01",Military_Official_Ledger!$A$2:$A$500,"&lt;=2024-12-31")</x:f>
        <x:v>2</x:v>
      </x:c>
      <x:c r="C10" s="11" t="n">
        <x:f>SUMIFS(Military_Official_Ledger!$F$2:$F$500,Military_Official_Ledger!$A$2:$A$500,"&gt;=2024-01-01",Military_Official_Ledger!$A$2:$A$500,"&lt;=2024-12-31")</x:f>
        <x:v>1</x:v>
      </x:c>
      <x:c r="D10" s="11" t="n">
        <x:f>COUNTIFS(Military_Official_Ledger!$A$2:$A$500,"&gt;=2024-01-01",Military_Official_Ledger!$A$2:$A$500,"&lt;=2024-12-31",Military_Official_Ledger!$I$2:$I$500,"unknown_investigation")</x:f>
        <x:v>2</x:v>
      </x:c>
      <x:c r="E10" s="11" t="n">
        <x:f>COUNTIFS(Military_Official_Ledger!$A$2:$A$500,"&gt;=2024-01-01",Military_Official_Ledger!$A$2:$A$500,"&lt;=2024-12-31",Military_Official_Ledger!$I$2:$I$500,"human_factors")</x:f>
        <x:v>0</x:v>
      </x:c>
      <x:c r="F10" s="11" t="n">
        <x:f>COUNTIFS(Military_Official_Ledger!$A$2:$A$500,"&gt;=2024-01-01",Military_Official_Ledger!$A$2:$A$500,"&lt;=2024-12-31",Military_Official_Ledger!$K$2:$K$500,"confirmed causal")+COUNTIFS(Military_Official_Ledger!$A$2:$A$500,"&gt;=2024-01-01",Military_Official_Ledger!$A$2:$A$500,"&lt;=2024-12-31",Military_Official_Ledger!$K$2:$K$500,"confirmed contributory")</x:f>
        <x:v>0</x:v>
      </x:c>
      <x:c r="G10" s="11" t="str">
        <x:v>partial — not NATO-complete</x:v>
      </x:c>
    </x:row>
    <x:row r="11">
      <x:c r="A11" s="11" t="n">
        <x:v>2025</x:v>
      </x:c>
      <x:c r="B11" s="11" t="n">
        <x:f>COUNTIFS(Military_Official_Ledger!$A$2:$A$500,"&gt;=2025-01-01",Military_Official_Ledger!$A$2:$A$500,"&lt;=2025-12-31")</x:f>
        <x:v>4</x:v>
      </x:c>
      <x:c r="C11" s="11" t="n">
        <x:f>SUMIFS(Military_Official_Ledger!$F$2:$F$500,Military_Official_Ledger!$A$2:$A$500,"&gt;=2025-01-01",Military_Official_Ledger!$A$2:$A$500,"&lt;=2025-12-31")</x:f>
        <x:v>1</x:v>
      </x:c>
      <x:c r="D11" s="11" t="n">
        <x:f>COUNTIFS(Military_Official_Ledger!$A$2:$A$500,"&gt;=2025-01-01",Military_Official_Ledger!$A$2:$A$500,"&lt;=2025-12-31",Military_Official_Ledger!$I$2:$I$500,"unknown_investigation")</x:f>
        <x:v>3</x:v>
      </x:c>
      <x:c r="E11" s="11" t="n">
        <x:f>COUNTIFS(Military_Official_Ledger!$A$2:$A$500,"&gt;=2025-01-01",Military_Official_Ledger!$A$2:$A$500,"&lt;=2025-12-31",Military_Official_Ledger!$I$2:$I$500,"human_factors")</x:f>
        <x:v>0</x:v>
      </x:c>
      <x:c r="F11" s="11" t="n">
        <x:f>COUNTIFS(Military_Official_Ledger!$A$2:$A$500,"&gt;=2025-01-01",Military_Official_Ledger!$A$2:$A$500,"&lt;=2025-12-31",Military_Official_Ledger!$K$2:$K$500,"confirmed causal")+COUNTIFS(Military_Official_Ledger!$A$2:$A$500,"&gt;=2025-01-01",Military_Official_Ledger!$A$2:$A$500,"&lt;=2025-12-31",Military_Official_Ledger!$K$2:$K$500,"confirmed contributory")</x:f>
        <x:v>1</x:v>
      </x:c>
      <x:c r="G11" s="11" t="str">
        <x:v>partial — not NATO-complete</x:v>
      </x:c>
    </x:row>
    <x:row r="12">
      <x:c r="A12" s="11" t="n">
        <x:v>2026</x:v>
      </x:c>
      <x:c r="B12" s="11" t="n">
        <x:f>COUNTIFS(Military_Official_Ledger!$A$2:$A$500,"&gt;=2026-01-01",Military_Official_Ledger!$A$2:$A$500,"&lt;=2026-12-31")</x:f>
        <x:v>0</x:v>
      </x:c>
      <x:c r="C12" s="11" t="n">
        <x:f>SUMIFS(Military_Official_Ledger!$F$2:$F$500,Military_Official_Ledger!$A$2:$A$500,"&gt;=2026-01-01",Military_Official_Ledger!$A$2:$A$500,"&lt;=2026-12-31")</x:f>
        <x:v>0</x:v>
      </x:c>
      <x:c r="D12" s="11" t="n">
        <x:f>COUNTIFS(Military_Official_Ledger!$A$2:$A$500,"&gt;=2026-01-01",Military_Official_Ledger!$A$2:$A$500,"&lt;=2026-12-31",Military_Official_Ledger!$I$2:$I$500,"unknown_investigation")</x:f>
        <x:v>0</x:v>
      </x:c>
      <x:c r="E12" s="11" t="n">
        <x:f>COUNTIFS(Military_Official_Ledger!$A$2:$A$500,"&gt;=2026-01-01",Military_Official_Ledger!$A$2:$A$500,"&lt;=2026-12-31",Military_Official_Ledger!$I$2:$I$500,"human_factors")</x:f>
        <x:v>0</x:v>
      </x:c>
      <x:c r="F12" s="11" t="n">
        <x:f>COUNTIFS(Military_Official_Ledger!$A$2:$A$500,"&gt;=2026-01-01",Military_Official_Ledger!$A$2:$A$500,"&lt;=2026-12-31",Military_Official_Ledger!$K$2:$K$500,"confirmed causal")+COUNTIFS(Military_Official_Ledger!$A$2:$A$500,"&gt;=2026-01-01",Military_Official_Ledger!$A$2:$A$500,"&lt;=2026-12-31",Military_Official_Ledger!$K$2:$K$500,"confirmed contributory")</x:f>
        <x:v>0</x:v>
      </x:c>
      <x:c r="G12" s="11" t="str">
        <x:v>partial — not NATO-complete</x:v>
      </x:c>
    </x:row>
  </x:sheetData>
  <x:mergeCells>
    <x:mergeCell ref="I1:J1"/>
  </x:mergeCells>
  <x:pageMargins left="0.7" right="0.7" top="0.75" bottom="0.75" header="0.3" footer="0.3"/>
</x:worksheet>
</file>