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ivil_Annual_Baseline" sheetId="2" state="visible" r:id="rId2"/>
    <sheet xmlns:r="http://schemas.openxmlformats.org/officeDocument/2006/relationships" name="Official_Disruption_Examples" sheetId="3" state="visible" r:id="rId3"/>
    <sheet xmlns:r="http://schemas.openxmlformats.org/officeDocument/2006/relationships" name="2026_Comparison_Framework" sheetId="4" state="visible" r:id="rId4"/>
    <sheet xmlns:r="http://schemas.openxmlformats.org/officeDocument/2006/relationships" name="Source_Register" sheetId="5" state="visible" r:id="rId5"/>
    <sheet xmlns:r="http://schemas.openxmlformats.org/officeDocument/2006/relationships" name="Backfill_Queue" sheetId="6" state="visible" r:id="rId6"/>
    <sheet xmlns:r="http://schemas.openxmlformats.org/officeDocument/2006/relationships" name="Causal_Taxonomy" sheetId="7" state="visible" r:id="rId7"/>
    <sheet xmlns:r="http://schemas.openxmlformats.org/officeDocument/2006/relationships" name="Causal_Event_Ledger" sheetId="8" state="visible" r:id="rId8"/>
    <sheet xmlns:r="http://schemas.openxmlformats.org/officeDocument/2006/relationships" name="Causal_Summary" sheetId="9" state="visible" r:id="rId9"/>
    <sheet xmlns:r="http://schemas.openxmlformats.org/officeDocument/2006/relationships" name="Why_By_Year" sheetId="10" state="visible" r:id="rId10"/>
    <sheet xmlns:r="http://schemas.openxmlformats.org/officeDocument/2006/relationships" name="Military_Official_Ledger" sheetId="11" state="visible" r:id="rId11"/>
    <sheet xmlns:r="http://schemas.openxmlformats.org/officeDocument/2006/relationships" name="Military_Coverage_Matrix" sheetId="12" state="visible" r:id="rId12"/>
    <sheet xmlns:r="http://schemas.openxmlformats.org/officeDocument/2006/relationships" name="Military_Source_Map" sheetId="13" state="visible" r:id="rId13"/>
    <sheet xmlns:r="http://schemas.openxmlformats.org/officeDocument/2006/relationships" name="Military_Info_System_Cases" sheetId="14" state="visible" r:id="rId14"/>
    <sheet xmlns:r="http://schemas.openxmlformats.org/officeDocument/2006/relationships" name="Military_Annual_Snapshot" sheetId="15" state="visible" r:id="rId15"/>
    <sheet xmlns:r="http://schemas.openxmlformats.org/officeDocument/2006/relationships" name="Country_Coverage" sheetId="16" state="visible" r:id="rId16"/>
    <sheet xmlns:r="http://schemas.openxmlformats.org/officeDocument/2006/relationships" name="France_BEA_E_Aggregates" sheetId="17" state="visible" r:id="rId17"/>
    <sheet xmlns:r="http://schemas.openxmlformats.org/officeDocument/2006/relationships" name="UK_2026_Comparison" sheetId="18" state="visible" r:id="rId18"/>
    <sheet xmlns:r="http://schemas.openxmlformats.org/officeDocument/2006/relationships" name="Useful_VLOOKUP" sheetId="19" state="visible" r:id="rId19"/>
    <sheet xmlns:r="http://schemas.openxmlformats.org/officeDocument/2006/relationships" name="Comparison_Readout" sheetId="20" state="visible" r:id="rId20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  <font>
      <name val="Carlito"/>
      <b val="1"/>
      <color rgb="FFFFFFFF"/>
      <sz val="11"/>
    </font>
    <font>
      <b val="1"/>
      <color rgb="00FFFFFF"/>
    </font>
    <font>
      <b val="1"/>
      <color rgb="00FFFFFF"/>
      <sz val="15"/>
    </font>
    <font>
      <b val="1"/>
    </font>
  </fonts>
  <fills count="17">
    <fill>
      <patternFill/>
    </fill>
    <fill>
      <patternFill patternType="gray125"/>
    </fill>
    <fill>
      <patternFill patternType="solid">
        <fgColor rgb="FF172033"/>
      </patternFill>
    </fill>
    <fill>
      <patternFill patternType="solid">
        <fgColor rgb="FFE8EDF5"/>
      </patternFill>
    </fill>
    <fill>
      <patternFill patternType="solid">
        <fgColor rgb="FF172033"/>
      </patternFill>
    </fill>
    <fill>
      <patternFill patternType="solid">
        <fgColor rgb="FFE8EDF5"/>
      </patternFill>
    </fill>
    <fill>
      <patternFill patternType="solid">
        <fgColor rgb="FF172033"/>
      </patternFill>
    </fill>
    <fill>
      <patternFill patternType="solid">
        <fgColor rgb="FF172033"/>
      </patternFill>
    </fill>
    <fill>
      <patternFill patternType="solid">
        <fgColor rgb="FFE8EDF5"/>
      </patternFill>
    </fill>
    <fill>
      <patternFill patternType="solid">
        <fgColor rgb="FF172033"/>
      </patternFill>
    </fill>
    <fill>
      <patternFill patternType="solid">
        <fgColor rgb="FF7A263A"/>
      </patternFill>
    </fill>
    <fill>
      <patternFill patternType="solid">
        <fgColor rgb="FFF2E8EB"/>
      </patternFill>
    </fill>
    <fill>
      <patternFill patternType="solid">
        <fgColor rgb="FFE8EDF5"/>
      </patternFill>
    </fill>
    <fill>
      <patternFill patternType="solid">
        <fgColor rgb="FF172033"/>
      </patternFill>
    </fill>
    <fill>
      <patternFill patternType="solid">
        <fgColor rgb="FFE8EDF5"/>
      </patternFill>
    </fill>
    <fill>
      <patternFill patternType="solid">
        <fgColor rgb="00172033"/>
      </patternFill>
    </fill>
    <fill>
      <patternFill patternType="solid">
        <fgColor rgb="00E8EDF5"/>
      </patternFill>
    </fill>
  </fills>
  <borders count="2">
    <border/>
    <border/>
  </borders>
  <cellStyleXfs count="1">
    <xf numFmtId="0" fontId="0" fillId="0" borderId="1"/>
  </cellStyleXfs>
  <cellXfs count="6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0" fontId="0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1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1" fillId="4" borderId="0" applyAlignment="1" pivotButton="0" quotePrefix="0" xfId="0">
      <alignment wrapText="1"/>
    </xf>
    <xf numFmtId="0" fontId="2" fillId="5" borderId="0" applyAlignment="1" pivotButton="0" quotePrefix="0" xfId="0">
      <alignment wrapText="1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wrapText="1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0" fillId="11" borderId="0" pivotButton="0" quotePrefix="0" xfId="0"/>
    <xf numFmtId="0" fontId="2" fillId="11" borderId="0" pivotButton="0" quotePrefix="0" xfId="0"/>
    <xf numFmtId="0" fontId="3" fillId="10" borderId="0" applyAlignment="1" pivotButton="0" quotePrefix="0" xfId="0">
      <alignment wrapText="1"/>
    </xf>
    <xf numFmtId="0" fontId="2" fillId="11" borderId="0" applyAlignment="1" pivotButton="0" quotePrefix="0" xfId="0">
      <alignment wrapText="1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wrapText="1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wrapText="1"/>
    </xf>
    <xf numFmtId="0" fontId="0" fillId="14" borderId="0" pivotButton="0" quotePrefix="0" xfId="0"/>
    <xf numFmtId="0" fontId="2" fillId="14" borderId="0" pivotButton="0" quotePrefix="0" xfId="0"/>
    <xf numFmtId="0" fontId="2" fillId="14" borderId="0" applyAlignment="1" pivotButton="0" quotePrefix="0" xfId="0">
      <alignment wrapText="1"/>
    </xf>
    <xf numFmtId="0" fontId="6" fillId="1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0" fontId="4" fillId="15" borderId="0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European network flight exposure, 2016–2025</a:t>
            </a:r>
          </a:p>
        </rich>
      </tx>
    </title>
    <plotArea>
      <lineChart>
        <grouping val="standard"/>
        <varyColors val="0"/>
        <ser>
          <idx val="0"/>
          <order val="0"/>
          <tx>
            <v>Regime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'Civil_Annual_Baseline'!$A$2:$A$11</f>
              <strCache>
                <ptCount val="0"/>
              </strCache>
            </strRef>
          </cat>
          <val>
            <numRef>
              <f>'Civil_Annual_Baseline'!$B$2:$B$11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Flights_millions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'Civil_Annual_Baseline'!$A$2:$A$11</f>
              <strCache>
                <ptCount val="0"/>
              </strCache>
            </strRef>
          </cat>
          <val>
            <numRef>
              <f>'Civil_Annual_Baseline'!$C$2:$C$11</f>
              <numCache>
                <formatCode>0.00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0</colOff>
      <row>1</row>
      <rowOff>0</rowOff>
    </from>
    <to>
      <col>18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ivilAnnualBaseline" displayName="CivilAnnualBaseline" ref="A1:I11" headerRowCount="1" totalsRowCount="0" totalsRowShown="0">
  <tableColumns count="9">
    <tableColumn id="1" name="Year"/>
    <tableColumn id="2" name="Regime"/>
    <tableColumn id="3" name="Flights_millions"/>
    <tableColumn id="4" name="Traffic_value_status"/>
    <tableColumn id="5" name="Enroute_ATFM_min_per_flight"/>
    <tableColumn id="6" name="Airport_ATFM_min_per_flight"/>
    <tableColumn id="7" name="Total_ATFM_min_per_flight"/>
    <tableColumn id="8" name="Context / caveat"/>
    <tableColumn id="9" name="Primary 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fficialDisruptionExamples" displayName="OfficialDisruptionExamples" ref="A1:H7" headerRowCount="1" totalsRowCount="0" totalsRowShown="0">
  <tableColumns count="8">
    <tableColumn id="1" name="Date"/>
    <tableColumn id="2" name="Year"/>
    <tableColumn id="3" name="Location"/>
    <tableColumn id="4" name="System/event"/>
    <tableColumn id="5" name="Official impact"/>
    <tableColumn id="6" name="Classification"/>
    <tableColumn id="7" name="Why retained"/>
    <tableColumn id="8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4" customWidth="1" style="22" min="1" max="1"/>
    <col width="78" customWidth="1" style="22" min="2" max="2"/>
  </cols>
  <sheetData>
    <row r="1">
      <c r="A1" s="13" t="inlineStr">
        <is>
          <t>NATO-area aviation resilience baseline</t>
        </is>
      </c>
      <c r="B1" s="1" t="n"/>
    </row>
    <row r="2">
      <c r="A2" s="12" t="inlineStr">
        <is>
          <t>Version</t>
        </is>
      </c>
      <c r="B2" s="11" t="inlineStr">
        <is>
          <t>Working baseline v0.1 — 23 September 2026</t>
        </is>
      </c>
    </row>
    <row r="3">
      <c r="A3" s="12" t="inlineStr">
        <is>
          <t>Research question</t>
        </is>
      </c>
      <c r="B3" s="11" t="inlineStr">
        <is>
          <t>Does the rate, severity, or character of aviation information/infrastructure failures or non-hostile military aircraft losses during the Iran-war period depart from a longer historical baseline?</t>
        </is>
      </c>
    </row>
    <row r="4">
      <c r="A4" s="12" t="inlineStr">
        <is>
          <t>Observation window</t>
        </is>
      </c>
      <c r="B4" s="11" t="inlineStr">
        <is>
          <t>28 Feb 2026 – 23 Sep 2026</t>
        </is>
      </c>
    </row>
    <row r="5">
      <c r="A5" s="12" t="inlineStr">
        <is>
          <t>Control design</t>
        </is>
      </c>
      <c r="B5" s="11" t="inlineStr">
        <is>
          <t>2016–2019 pre-COVID; 2020–2021 COVID/low exposure; 2022–2025 post-COVID/Ukraine-war; 1 Jan–27 Feb 2026 immediate pre-war control.</t>
        </is>
      </c>
    </row>
    <row r="6">
      <c r="A6" s="12" t="inlineStr">
        <is>
          <t>Core rule</t>
        </is>
      </c>
      <c r="B6" s="11" t="inlineStr">
        <is>
          <t>Do not infer a common cause from clustering. Civil ATM/infrastructure, GNSS/EW interference, military accidents, and VIP aviation-security events remain separate streams until evidence connects them.</t>
        </is>
      </c>
    </row>
    <row r="7">
      <c r="A7" s="12" t="inlineStr">
        <is>
          <t>Civil scope</t>
        </is>
      </c>
      <c r="B7" s="11" t="inlineStr">
        <is>
          <t>EUROCONTROL Network Manager area / European ATM where official longitudinal data are available. This is not identical to NATO membership and is retained as a regional control series.</t>
        </is>
      </c>
    </row>
    <row r="8">
      <c r="A8" s="12" t="inlineStr">
        <is>
          <t>Military scope</t>
        </is>
      </c>
      <c r="B8" s="11" t="inlineStr">
        <is>
          <t>NATO-member military aircraft: non-hostile losses/serious accidents. Event-level historical backfill remains a separate workstream because no single NATO-wide public series has yet been identified.</t>
        </is>
      </c>
    </row>
    <row r="9">
      <c r="A9" s="12" t="inlineStr">
        <is>
          <t>Cause coding</t>
        </is>
      </c>
      <c r="B9" s="11" t="inlineStr">
        <is>
          <t>confirmed digital/IT; confirmed electrical; GNSS/EW; mechanical/physical; collision; hostile fire; friendly fire; unresolved; no evidence of digital involvement.</t>
        </is>
      </c>
    </row>
    <row r="10">
      <c r="A10" s="12" t="inlineStr">
        <is>
          <t>Interpretation warning</t>
        </is>
      </c>
      <c r="B10" s="11" t="inlineStr">
        <is>
          <t>Raw annual counts are not comparable without exposure. COVID years are flagged and flight-normalised metrics should be preferred where available.</t>
        </is>
      </c>
    </row>
    <row r="12">
      <c r="A12" s="30" t="inlineStr">
        <is>
          <t>New causal layer</t>
        </is>
      </c>
      <c r="B12" s="11" t="inlineStr">
        <is>
          <t>Causal_Taxonomy defines exactly what 'why' means; Causal_Event_Ledger records proximate cause, resilience failure, confidence, digital relevance, war/EW relevance, and explanation status.</t>
        </is>
      </c>
    </row>
    <row r="13">
      <c r="A13" s="30" t="inlineStr">
        <is>
          <t>Critical distinction</t>
        </is>
      </c>
      <c r="B13" s="11" t="inlineStr">
        <is>
          <t>'No public evidence of digital involvement' is NOT the same as 'digital involvement ruled out'.</t>
        </is>
      </c>
    </row>
    <row r="14">
      <c r="A14" s="30" t="inlineStr">
        <is>
          <t>Interpretation</t>
        </is>
      </c>
      <c r="B14" s="11" t="inlineStr">
        <is>
          <t>The ledger must be backfilled under identical inclusion rules before annual proportions are treated as comparative statistics.</t>
        </is>
      </c>
    </row>
    <row r="15">
      <c r="A15" s="30" t="inlineStr">
        <is>
          <t>Next P0</t>
        </is>
      </c>
      <c r="B15" s="11" t="inlineStr">
        <is>
          <t>Populate significant civil technical events across 2016–2025 and the NATO military accident series, then calculate cause composition by year and exposure.</t>
        </is>
      </c>
    </row>
    <row r="17">
      <c r="A17" s="39" t="inlineStr">
        <is>
          <t>Military expansion started</t>
        </is>
      </c>
      <c r="B17" s="11" t="inlineStr">
        <is>
          <t>Military_Official_Ledger now seeds the longitudinal military stream from the UK Defence Safety Authority's official Service Inquiry collection.</t>
        </is>
      </c>
    </row>
    <row r="18">
      <c r="A18" s="39" t="inlineStr">
        <is>
          <t>Coverage discipline</t>
        </is>
      </c>
      <c r="B18" s="11" t="inlineStr">
        <is>
          <t>Military_Coverage_Matrix prevents missing country-years from being mistaken for zero events.</t>
        </is>
      </c>
    </row>
    <row r="19">
      <c r="A19" s="39" t="inlineStr">
        <is>
          <t>Useful causal control</t>
        </is>
      </c>
      <c r="B19" s="11" t="inlineStr">
        <is>
          <t>The 2021 F-35B ZM152 loss has a published conventional causal factor: an intake blank at the engine compressor during launch.</t>
        </is>
      </c>
    </row>
    <row r="20">
      <c r="A20" s="39" t="inlineStr">
        <is>
          <t>Next military step</t>
        </is>
      </c>
      <c r="B20" s="11" t="inlineStr">
        <is>
          <t>Map and backfill official accident-investigation sources for the other NATO members; only then calculate NATO-wide annual rates.</t>
        </is>
      </c>
    </row>
    <row r="22">
      <c r="A22" s="51" t="inlineStr">
        <is>
          <t>Military population pass</t>
        </is>
      </c>
      <c r="B22" s="11" t="inlineStr">
        <is>
          <t>Added official-source US accident investigations plus Finland/Poland/Greece occurrence comparators, alongside the existing UK DSA seed.</t>
        </is>
      </c>
    </row>
    <row r="23">
      <c r="A23" s="51" t="inlineStr">
        <is>
          <t>Major baseline discovery</t>
        </is>
      </c>
      <c r="B23" s="11" t="inlineStr">
        <is>
          <t>A fatal 2020 USAF F-16 crash had degraded GPS satellite tracking as an official substantial contributing factor. This establishes that military navigation-information degradation is a real pre-2026 comparator.</t>
        </is>
      </c>
    </row>
    <row r="24">
      <c r="A24" s="51" t="inlineStr">
        <is>
          <t>Boundary</t>
        </is>
      </c>
      <c r="B24" s="11" t="inlineStr">
        <is>
          <t>The 2020 AIB does NOT attribute the GPS degradation to jamming, spoofing or hostile action.</t>
        </is>
      </c>
    </row>
    <row r="25">
      <c r="A25" s="51" t="inlineStr">
        <is>
          <t>Current completeness</t>
        </is>
      </c>
      <c r="B25" s="11" t="inlineStr">
        <is>
          <t>The military ledger is now useful as a causal-comparator dataset but is still not exhaustive across every NATO member/year; annual rate inference remains blocked until coverage is completed.</t>
        </is>
      </c>
    </row>
    <row r="27">
      <c r="A27" s="57" t="inlineStr">
        <is>
          <t>v0.6 expansion</t>
        </is>
      </c>
      <c r="B27" s="11" t="inlineStr">
        <is>
          <t>Added official French BEA-É and Canadian RCAF cases, plus a country-by-country NATO coverage sheet.</t>
        </is>
      </c>
    </row>
    <row r="28">
      <c r="A28" s="57" t="inlineStr">
        <is>
          <t>French aggregate control</t>
        </is>
      </c>
      <c r="B28" s="11" t="inlineStr">
        <is>
          <t>BEA-É reports 16 safety investigations opened in 2023 and 19 in 2024; 2024 included the fatal two-Rafale collision.</t>
        </is>
      </c>
    </row>
    <row r="29">
      <c r="A29" s="57" t="inlineStr">
        <is>
          <t>Canadian causal control</t>
        </is>
      </c>
      <c r="B29" s="11" t="inlineStr">
        <is>
          <t>The 2022 Snowbirds CT-114 accident was traced by RCAF Flight Safety to an improperly assembled oil filter causing engine failure.</t>
        </is>
      </c>
    </row>
    <row r="30">
      <c r="A30" s="57" t="inlineStr">
        <is>
          <t>Coverage honesty</t>
        </is>
      </c>
      <c r="B30" s="11" t="inlineStr">
        <is>
          <t>Country_Coverage now makes the remaining NATO gaps explicit. Current ledger is a growing causal baseline, not yet a complete NATO accident census.</t>
        </is>
      </c>
    </row>
    <row r="32">
      <c r="A32" s="58" t="inlineStr">
        <is>
          <t>v0.7 comparison pass</t>
        </is>
      </c>
      <c r="B32" s="59" t="inlineStr">
        <is>
          <t>Added UK_2026_Comparison, Useful_VLOOKUP and Comparison_Readout. This is the first mechanism-aware comparison rather than further baseline collection.</t>
        </is>
      </c>
    </row>
    <row r="33">
      <c r="A33" s="58" t="inlineStr">
        <is>
          <t>First result</t>
        </is>
      </c>
      <c r="B33" s="59" t="inlineStr">
        <is>
          <t>Civil 2026 failures have strong historical mechanism matches. The distinctive 2026 feature is the surrounding documented GNSS/EW environment, not a demonstrated common cause.</t>
        </is>
      </c>
    </row>
    <row r="34">
      <c r="A34" s="58" t="inlineStr">
        <is>
          <t>Military limitation</t>
        </is>
      </c>
      <c r="B34" s="59" t="inlineStr">
        <is>
          <t>The UK 2026 military accidents remain too unresolved/recent for mechanism matching; compare investigation maturity now and mechanism later.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style="22" min="1" max="1"/>
    <col width="25" customWidth="1" style="22" min="2" max="2"/>
    <col width="15" customWidth="1" style="22" min="3" max="3"/>
    <col width="28" customWidth="1" style="22" min="4" max="4"/>
    <col width="20" customWidth="1" style="22" min="5" max="5"/>
    <col width="20" customWidth="1" style="22" min="6" max="6"/>
    <col width="18" customWidth="1" style="22" min="7" max="7"/>
    <col width="55" customWidth="1" style="22" min="8" max="8"/>
    <col width="48" customWidth="1" style="22" min="9" max="9"/>
  </cols>
  <sheetData>
    <row r="1">
      <c r="A1" s="18" t="inlineStr">
        <is>
          <t>Year</t>
        </is>
      </c>
      <c r="B1" s="18" t="inlineStr">
        <is>
          <t>Regime</t>
        </is>
      </c>
      <c r="C1" s="18" t="inlineStr">
        <is>
          <t>Flights_millions</t>
        </is>
      </c>
      <c r="D1" s="18" t="inlineStr">
        <is>
          <t>Traffic_value_status</t>
        </is>
      </c>
      <c r="E1" s="18" t="inlineStr">
        <is>
          <t>Enroute_ATFM_min_per_flight</t>
        </is>
      </c>
      <c r="F1" s="18" t="inlineStr">
        <is>
          <t>Airport_ATFM_min_per_flight</t>
        </is>
      </c>
      <c r="G1" s="18" t="inlineStr">
        <is>
          <t>Total_ATFM_min_per_flight</t>
        </is>
      </c>
      <c r="H1" s="18" t="inlineStr">
        <is>
          <t>Context / caveat</t>
        </is>
      </c>
      <c r="I1" s="18" t="inlineStr">
        <is>
          <t>Primary source URL</t>
        </is>
      </c>
    </row>
    <row r="2">
      <c r="A2" s="11" t="n">
        <v>2016</v>
      </c>
      <c r="B2" s="11" t="inlineStr">
        <is>
          <t>Pre-COVID</t>
        </is>
      </c>
      <c r="C2" s="60" t="n">
        <v>10.163</v>
      </c>
      <c r="D2" s="60" t="inlineStr">
        <is>
          <t>approx from official avg daily traffic</t>
        </is>
      </c>
      <c r="E2" s="60" t="n">
        <v>0.86</v>
      </c>
      <c r="F2" s="60" t="n">
        <v>0.67</v>
      </c>
      <c r="G2" s="60" t="n">
        <v>1.53</v>
      </c>
      <c r="H2" s="11" t="inlineStr">
        <is>
          <t>High-traffic pre-COVID control. Official report records multiple radar, frequency, VOR, ILS and radio-navigation disruptions.</t>
        </is>
      </c>
      <c r="I2" s="11" t="inlineStr">
        <is>
          <t>https://www.eurocontrol.int/sites/default/files/publication/files/nm-annual-network-operations-report-2016-main-report.pdf</t>
        </is>
      </c>
    </row>
    <row r="3">
      <c r="A3" s="11" t="n">
        <v>2017</v>
      </c>
      <c r="B3" s="11" t="inlineStr">
        <is>
          <t>Pre-COVID</t>
        </is>
      </c>
      <c r="C3" s="60" t="n">
        <v>10.606</v>
      </c>
      <c r="D3" s="60" t="inlineStr">
        <is>
          <t>approx from official avg daily traffic</t>
        </is>
      </c>
      <c r="E3" s="60" t="n">
        <v>0.88</v>
      </c>
      <c r="F3" s="60" t="n">
        <v>0.62</v>
      </c>
      <c r="G3" s="60" t="n">
        <v>1.5</v>
      </c>
      <c r="H3" s="11" t="inlineStr">
        <is>
          <t>High-traffic pre-COVID control.</t>
        </is>
      </c>
      <c r="I3" s="11" t="inlineStr">
        <is>
          <t>https://www.eurocontrol.int/publication/annual-network-operations-report-2017</t>
        </is>
      </c>
    </row>
    <row r="4">
      <c r="A4" s="11" t="n">
        <v>2018</v>
      </c>
      <c r="B4" s="11" t="inlineStr">
        <is>
          <t>Pre-COVID</t>
        </is>
      </c>
      <c r="C4" s="60" t="n">
        <v>11.011</v>
      </c>
      <c r="D4" s="60" t="inlineStr">
        <is>
          <t>approx from official avg daily traffic</t>
        </is>
      </c>
      <c r="E4" s="60" t="n">
        <v>1.73</v>
      </c>
      <c r="F4" s="60" t="n">
        <v>0.6</v>
      </c>
      <c r="G4" s="60" t="n">
        <v>2.33</v>
      </c>
      <c r="H4" s="11" t="inlineStr">
        <is>
          <t>Severe network-delay year; useful noisy-year control. Included major Network Manager technical outage.</t>
        </is>
      </c>
      <c r="I4" s="11" t="inlineStr">
        <is>
          <t>https://www.eurocontrol.int/publication/annual-network-operations-report-2018</t>
        </is>
      </c>
    </row>
    <row r="5">
      <c r="A5" s="11" t="n">
        <v>2019</v>
      </c>
      <c r="B5" s="11" t="inlineStr">
        <is>
          <t>Pre-COVID</t>
        </is>
      </c>
      <c r="C5" s="60" t="n">
        <v>11.106</v>
      </c>
      <c r="D5" s="60" t="inlineStr">
        <is>
          <t>approx from official avg daily traffic</t>
        </is>
      </c>
      <c r="E5" s="60" t="n">
        <v>1.57</v>
      </c>
      <c r="F5" s="60" t="n">
        <v>0.6</v>
      </c>
      <c r="G5" s="60" t="n">
        <v>2.17</v>
      </c>
      <c r="H5" s="11" t="inlineStr">
        <is>
          <t>Pre-pandemic traffic peak; EUROCONTROL described 2019 delay as third-worst of prior decade despite improvement vs 2018.</t>
        </is>
      </c>
      <c r="I5" s="11" t="inlineStr">
        <is>
          <t>https://www.eurocontrol.int/publication/annual-network-operations-report-2019</t>
        </is>
      </c>
    </row>
    <row r="6">
      <c r="A6" s="11" t="n">
        <v>2020</v>
      </c>
      <c r="B6" s="11" t="inlineStr">
        <is>
          <t>COVID</t>
        </is>
      </c>
      <c r="C6" s="60" t="n">
        <v>4.971</v>
      </c>
      <c r="D6" s="60" t="inlineStr">
        <is>
          <t>approx from official avg daily traffic</t>
        </is>
      </c>
      <c r="E6" s="60" t="n">
        <v>0.33</v>
      </c>
      <c r="F6" s="60" t="n">
        <v>0.2</v>
      </c>
      <c r="G6" s="60" t="n">
        <v>0.53</v>
      </c>
      <c r="H6" s="11" t="inlineStr">
        <is>
          <t>COVID exposure collapse. EUROCONTROL cautions against in-depth comparison with previous years.</t>
        </is>
      </c>
      <c r="I6" s="11" t="inlineStr">
        <is>
          <t>https://www.eurocontrol.int/publication/annual-network-operations-report-2020</t>
        </is>
      </c>
    </row>
    <row r="7">
      <c r="A7" s="11" t="n">
        <v>2021</v>
      </c>
      <c r="B7" s="11" t="inlineStr">
        <is>
          <t>COVID</t>
        </is>
      </c>
      <c r="C7" s="60" t="n">
        <v>6.2</v>
      </c>
      <c r="D7" s="60" t="inlineStr">
        <is>
          <t>official annual figure</t>
        </is>
      </c>
      <c r="E7" s="60" t="n">
        <v>0.29</v>
      </c>
      <c r="F7" s="60" t="n">
        <v>0.18</v>
      </c>
      <c r="G7" s="60" t="n">
        <v>0.47</v>
      </c>
      <c r="H7" s="11" t="inlineStr">
        <is>
          <t>56% of 2019 traffic; recovery year.</t>
        </is>
      </c>
      <c r="I7" s="11" t="inlineStr">
        <is>
          <t>https://www.eurocontrol.int/publication/annual-network-operations-report-2021</t>
        </is>
      </c>
    </row>
    <row r="8">
      <c r="A8" s="11" t="n">
        <v>2022</v>
      </c>
      <c r="B8" s="11" t="inlineStr">
        <is>
          <t>Post-COVID / Ukraine war</t>
        </is>
      </c>
      <c r="C8" s="60" t="n">
        <v>9.300000000000001</v>
      </c>
      <c r="D8" s="60" t="inlineStr">
        <is>
          <t>official annual figure</t>
        </is>
      </c>
      <c r="E8" s="60" t="n">
        <v>1.8</v>
      </c>
      <c r="F8" s="60" t="n">
        <v>0.4</v>
      </c>
      <c r="G8" s="60" t="n">
        <v>2.2</v>
      </c>
      <c r="H8" s="11" t="inlineStr">
        <is>
          <t>Ukraine airspace closure and increased military operations explicitly identified as network challenges.</t>
        </is>
      </c>
      <c r="I8" s="11" t="inlineStr">
        <is>
          <t>https://www.eurocontrol.int/publication/annual-network-operations-report-2022</t>
        </is>
      </c>
    </row>
    <row r="9">
      <c r="A9" s="11" t="n">
        <v>2023</v>
      </c>
      <c r="B9" s="11" t="inlineStr">
        <is>
          <t>Post-COVID / Ukraine war</t>
        </is>
      </c>
      <c r="C9" s="60" t="n">
        <v>10.2</v>
      </c>
      <c r="D9" s="60" t="inlineStr">
        <is>
          <t>official annual figure</t>
        </is>
      </c>
      <c r="E9" s="60" t="n">
        <v>1.8</v>
      </c>
      <c r="F9" s="60" t="n"/>
      <c r="G9" s="60" t="n"/>
      <c r="H9" s="11" t="inlineStr">
        <is>
          <t>Ukraine closure, increased military operations, weather and Middle East instability affected network.</t>
        </is>
      </c>
      <c r="I9" s="11" t="inlineStr">
        <is>
          <t>https://www.eurocontrol.int/publication/annual-network-operations-report-2023</t>
        </is>
      </c>
    </row>
    <row r="10">
      <c r="A10" s="11" t="n">
        <v>2024</v>
      </c>
      <c r="B10" s="11" t="inlineStr">
        <is>
          <t>Post-COVID / Ukraine war</t>
        </is>
      </c>
      <c r="C10" s="60" t="n">
        <v>10.66</v>
      </c>
      <c r="D10" s="60" t="inlineStr">
        <is>
          <t>derived from 2025 11.1m being +4.1% YoY</t>
        </is>
      </c>
      <c r="E10" s="60" t="n">
        <v>2.13</v>
      </c>
      <c r="F10" s="60" t="n"/>
      <c r="G10" s="60" t="n"/>
      <c r="H10" s="11" t="inlineStr">
        <is>
          <t>En-route ATFM delay reached worst level since 2001; increased military training/exercise requirements also noted.</t>
        </is>
      </c>
      <c r="I10" s="11" t="inlineStr">
        <is>
          <t>https://www.eurocontrol.int/publication/annual-network-operations-report-2024</t>
        </is>
      </c>
    </row>
    <row r="11">
      <c r="A11" s="11" t="n">
        <v>2025</v>
      </c>
      <c r="B11" s="11" t="inlineStr">
        <is>
          <t>Post-COVID / Ukraine war</t>
        </is>
      </c>
      <c r="C11" s="60" t="n">
        <v>11.1</v>
      </c>
      <c r="D11" s="60" t="inlineStr">
        <is>
          <t>official annual figure</t>
        </is>
      </c>
      <c r="E11" s="60" t="n">
        <v>1.66</v>
      </c>
      <c r="F11" s="60" t="n"/>
      <c r="G11" s="60" t="n"/>
      <c r="H11" s="11" t="inlineStr">
        <is>
          <t>Performance improved vs 2024/2023 despite traffic growth; Middle East instability and increased military airspace requirements noted.</t>
        </is>
      </c>
      <c r="I11" s="11" t="inlineStr">
        <is>
          <t>https://www.eurocontrol.int/publication/annual-network-operations-report-2025</t>
        </is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style="22" min="1" max="1"/>
    <col width="8" customWidth="1" style="22" min="2" max="2"/>
    <col width="24" customWidth="1" style="22" min="3" max="3"/>
    <col width="34" customWidth="1" style="22" min="4" max="4"/>
    <col width="36" customWidth="1" style="22" min="5" max="5"/>
    <col width="24" customWidth="1" style="22" min="6" max="6"/>
    <col width="42" customWidth="1" style="22" min="7" max="7"/>
    <col width="50" customWidth="1" style="22" min="8" max="8"/>
  </cols>
  <sheetData>
    <row r="1">
      <c r="A1" s="18" t="inlineStr">
        <is>
          <t>Date</t>
        </is>
      </c>
      <c r="B1" s="18" t="inlineStr">
        <is>
          <t>Year</t>
        </is>
      </c>
      <c r="C1" s="18" t="inlineStr">
        <is>
          <t>Location</t>
        </is>
      </c>
      <c r="D1" s="18" t="inlineStr">
        <is>
          <t>System/event</t>
        </is>
      </c>
      <c r="E1" s="18" t="inlineStr">
        <is>
          <t>Official impact</t>
        </is>
      </c>
      <c r="F1" s="18" t="inlineStr">
        <is>
          <t>Classification</t>
        </is>
      </c>
      <c r="G1" s="18" t="inlineStr">
        <is>
          <t>Why retained</t>
        </is>
      </c>
      <c r="H1" s="18" t="inlineStr">
        <is>
          <t>Source URL</t>
        </is>
      </c>
    </row>
    <row r="2">
      <c r="A2" s="11" t="inlineStr">
        <is>
          <t>2016-01-18</t>
        </is>
      </c>
      <c r="B2" s="11" t="n">
        <v>2016</v>
      </c>
      <c r="C2" s="11" t="inlineStr">
        <is>
          <t>Frankfurt/Main</t>
        </is>
      </c>
      <c r="D2" s="11" t="inlineStr">
        <is>
          <t>VOR unserviceability</t>
        </is>
      </c>
      <c r="E2" s="11" t="inlineStr">
        <is>
          <t>2,452 ATFM delay min</t>
        </is>
      </c>
      <c r="F2" s="11" t="inlineStr">
        <is>
          <t>radio-navigation</t>
        </is>
      </c>
      <c r="G2" s="11" t="inlineStr">
        <is>
          <t>Historical technical-failure comparator</t>
        </is>
      </c>
      <c r="H2" s="11" t="inlineStr">
        <is>
          <t>https://www.eurocontrol.int/sites/default/files/publication/files/nm-annual-network-operations-report-2016-main-report.pdf</t>
        </is>
      </c>
    </row>
    <row r="3">
      <c r="A3" s="11" t="inlineStr">
        <is>
          <t>2016-01-21</t>
        </is>
      </c>
      <c r="B3" s="11" t="n">
        <v>2016</v>
      </c>
      <c r="C3" s="11" t="inlineStr">
        <is>
          <t>Istanbul airports</t>
        </is>
      </c>
      <c r="D3" s="11" t="inlineStr">
        <is>
          <t>Radar and frequency problems</t>
        </is>
      </c>
      <c r="E3" s="11" t="inlineStr">
        <is>
          <t>12,656 ATFM delay min</t>
        </is>
      </c>
      <c r="F3" s="11" t="inlineStr">
        <is>
          <t>surveillance/comms</t>
        </is>
      </c>
      <c r="G3" s="11" t="inlineStr">
        <is>
          <t>Historical technical-failure comparator</t>
        </is>
      </c>
      <c r="H3" s="11" t="inlineStr">
        <is>
          <t>https://www.eurocontrol.int/sites/default/files/publication/files/nm-annual-network-operations-report-2016-main-report.pdf</t>
        </is>
      </c>
    </row>
    <row r="4">
      <c r="A4" s="11" t="inlineStr">
        <is>
          <t>2016-02-04</t>
        </is>
      </c>
      <c r="B4" s="11" t="n">
        <v>2016</v>
      </c>
      <c r="C4" s="11" t="inlineStr">
        <is>
          <t>Frankfurt/Main</t>
        </is>
      </c>
      <c r="D4" s="11" t="inlineStr">
        <is>
          <t>ILS unserviceability</t>
        </is>
      </c>
      <c r="E4" s="11" t="inlineStr">
        <is>
          <t>1,295 ATFM delay min</t>
        </is>
      </c>
      <c r="F4" s="11" t="inlineStr">
        <is>
          <t>navigation/landing aid</t>
        </is>
      </c>
      <c r="G4" s="11" t="inlineStr">
        <is>
          <t>Historical technical-failure comparator</t>
        </is>
      </c>
      <c r="H4" s="11" t="inlineStr">
        <is>
          <t>https://www.eurocontrol.int/sites/default/files/publication/files/nm-annual-network-operations-report-2016-main-report.pdf</t>
        </is>
      </c>
    </row>
    <row r="5">
      <c r="A5" s="11" t="inlineStr">
        <is>
          <t>2016-02-20</t>
        </is>
      </c>
      <c r="B5" s="11" t="n">
        <v>2016</v>
      </c>
      <c r="C5" s="11" t="inlineStr">
        <is>
          <t>Zurich</t>
        </is>
      </c>
      <c r="D5" s="11" t="inlineStr">
        <is>
          <t>Radio-navigation / direction-finder problems</t>
        </is>
      </c>
      <c r="E5" s="11" t="inlineStr">
        <is>
          <t>1,024 ATFM delay min</t>
        </is>
      </c>
      <c r="F5" s="11" t="inlineStr">
        <is>
          <t>radio-navigation</t>
        </is>
      </c>
      <c r="G5" s="11" t="inlineStr">
        <is>
          <t>Historical technical-failure comparator</t>
        </is>
      </c>
      <c r="H5" s="11" t="inlineStr">
        <is>
          <t>https://www.eurocontrol.int/sites/default/files/publication/files/nm-annual-network-operations-report-2016-main-report.pdf</t>
        </is>
      </c>
    </row>
    <row r="6">
      <c r="A6" s="11" t="inlineStr">
        <is>
          <t>2018-04-03</t>
        </is>
      </c>
      <c r="B6" s="11" t="n">
        <v>2018</v>
      </c>
      <c r="C6" s="11" t="inlineStr">
        <is>
          <t>EUROCONTROL Network Manager</t>
        </is>
      </c>
      <c r="D6" s="11" t="inlineStr">
        <is>
          <t>Network Manager technical-system outage</t>
        </is>
      </c>
      <c r="E6" s="11" t="inlineStr">
        <is>
          <t>Contingency plan; precautionary capacity/departure-rate reductions</t>
        </is>
      </c>
      <c r="F6" s="11" t="inlineStr">
        <is>
          <t>central ATM technical system</t>
        </is>
      </c>
      <c r="G6" s="11" t="inlineStr">
        <is>
          <t>Large historical system-outage comparator</t>
        </is>
      </c>
      <c r="H6" s="11" t="inlineStr">
        <is>
          <t>https://www.eurocontrol.int/publication/annual-network-operations-report-2018</t>
        </is>
      </c>
    </row>
    <row r="7">
      <c r="A7" s="11" t="inlineStr">
        <is>
          <t>2024-07</t>
        </is>
      </c>
      <c r="B7" s="11" t="n">
        <v>2024</v>
      </c>
      <c r="C7" s="11" t="inlineStr">
        <is>
          <t>EUROCONTROL network</t>
        </is>
      </c>
      <c r="D7" s="11" t="inlineStr">
        <is>
          <t>High en-route ATFM delay month</t>
        </is>
      </c>
      <c r="E7" s="11" t="inlineStr">
        <is>
          <t>6,940,504 ATFM delay min; 6.5 min/flight total</t>
        </is>
      </c>
      <c r="F7" s="11" t="inlineStr">
        <is>
          <t>network performance</t>
        </is>
      </c>
      <c r="G7" s="11" t="inlineStr">
        <is>
          <t>Shows severe non-2026 operational month; not itself a technical outage</t>
        </is>
      </c>
      <c r="H7" s="11" t="inlineStr">
        <is>
          <t>https://www.eurocontrol.int/press-release/july-2024-overview-network-performance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6" customWidth="1" style="22" min="1" max="1"/>
    <col width="14" customWidth="1" style="22" min="2" max="2"/>
    <col width="14" customWidth="1" style="22" min="3" max="3"/>
    <col width="18" customWidth="1" style="22" min="4" max="4"/>
    <col width="35" customWidth="1" style="22" min="5" max="5"/>
    <col width="34" customWidth="1" style="22" min="6" max="6"/>
    <col width="38" customWidth="1" style="22" min="7" max="7"/>
    <col width="30" customWidth="1" style="22" min="8" max="8"/>
    <col width="16" customWidth="1" style="22" min="9" max="9"/>
  </cols>
  <sheetData>
    <row r="1">
      <c r="A1" s="18" t="inlineStr">
        <is>
          <t>Period</t>
        </is>
      </c>
      <c r="B1" s="18" t="inlineStr">
        <is>
          <t>Start</t>
        </is>
      </c>
      <c r="C1" s="18" t="inlineStr">
        <is>
          <t>End</t>
        </is>
      </c>
      <c r="D1" s="18" t="inlineStr">
        <is>
          <t>Role</t>
        </is>
      </c>
      <c r="E1" s="18" t="inlineStr">
        <is>
          <t>Civil ATM / infrastructure</t>
        </is>
      </c>
      <c r="F1" s="18" t="inlineStr">
        <is>
          <t>GNSS/EW</t>
        </is>
      </c>
      <c r="G1" s="18" t="inlineStr">
        <is>
          <t>Military non-hostile</t>
        </is>
      </c>
      <c r="H1" s="18" t="inlineStr">
        <is>
          <t>VIP aviation</t>
        </is>
      </c>
      <c r="I1" s="18" t="inlineStr">
        <is>
          <t>Status</t>
        </is>
      </c>
    </row>
    <row r="2">
      <c r="A2" s="11" t="inlineStr">
        <is>
          <t>Immediate pre-war control</t>
        </is>
      </c>
      <c r="B2" s="11" t="inlineStr">
        <is>
          <t>2026-01-01</t>
        </is>
      </c>
      <c r="C2" s="11" t="inlineStr">
        <is>
          <t>2026-02-27</t>
        </is>
      </c>
      <c r="D2" s="11" t="inlineStr">
        <is>
          <t>Internal control</t>
        </is>
      </c>
      <c r="E2" s="11" t="inlineStr">
        <is>
          <t>Backfill required</t>
        </is>
      </c>
      <c r="F2" s="11" t="inlineStr">
        <is>
          <t>Backfill required</t>
        </is>
      </c>
      <c r="G2" s="11" t="inlineStr">
        <is>
          <t>Backfill required</t>
        </is>
      </c>
      <c r="H2" s="11" t="inlineStr">
        <is>
          <t>Backfill required</t>
        </is>
      </c>
      <c r="I2" s="11" t="inlineStr">
        <is>
          <t>OPEN</t>
        </is>
      </c>
    </row>
    <row r="3">
      <c r="A3" s="11" t="inlineStr">
        <is>
          <t>Iran-war observation</t>
        </is>
      </c>
      <c r="B3" s="11" t="inlineStr">
        <is>
          <t>2026-02-28</t>
        </is>
      </c>
      <c r="C3" s="11" t="inlineStr">
        <is>
          <t>2026-09-23</t>
        </is>
      </c>
      <c r="D3" s="11" t="inlineStr">
        <is>
          <t>Observation</t>
        </is>
      </c>
      <c r="E3" s="11" t="inlineStr">
        <is>
          <t>Event dataset exists; official-stat backfill in progress</t>
        </is>
      </c>
      <c r="F3" s="11" t="inlineStr">
        <is>
          <t>Documented interference environment; quantify separately</t>
        </is>
      </c>
      <c r="G3" s="11" t="inlineStr">
        <is>
          <t>Event dataset exists; historical denominator/backfill required</t>
        </is>
      </c>
      <c r="H3" s="11" t="inlineStr">
        <is>
          <t>Event dataset exists</t>
        </is>
      </c>
      <c r="I3" s="11" t="inlineStr">
        <is>
          <t>IN PROGRESS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style="22" min="1" max="1"/>
    <col width="24" customWidth="1" style="22" min="2" max="2"/>
    <col width="58" customWidth="1" style="22" min="3" max="3"/>
    <col width="58" customWidth="1" style="22" min="4" max="4"/>
  </cols>
  <sheetData>
    <row r="1">
      <c r="A1" s="18" t="inlineStr">
        <is>
          <t>Source family</t>
        </is>
      </c>
      <c r="B1" s="18" t="inlineStr">
        <is>
          <t>Coverage</t>
        </is>
      </c>
      <c r="C1" s="18" t="inlineStr">
        <is>
          <t>Use</t>
        </is>
      </c>
      <c r="D1" s="18" t="inlineStr">
        <is>
          <t>Official URL</t>
        </is>
      </c>
    </row>
    <row r="2">
      <c r="A2" s="11" t="inlineStr">
        <is>
          <t>EUROCONTROL Annual Network Operations Reports</t>
        </is>
      </c>
      <c r="B2" s="11" t="inlineStr">
        <is>
          <t>2016–2025</t>
        </is>
      </c>
      <c r="C2" s="11" t="inlineStr">
        <is>
          <t>Traffic exposure; ATFM delay; network disruptions; ACC/airport technical events</t>
        </is>
      </c>
      <c r="D2" s="11" t="inlineStr">
        <is>
          <t>https://www.eurocontrol.int/network-performance</t>
        </is>
      </c>
    </row>
    <row r="3">
      <c r="A3" s="11" t="inlineStr">
        <is>
          <t>EUROCONTROL Performance Review Reports</t>
        </is>
      </c>
      <c r="B3" s="11" t="inlineStr">
        <is>
          <t>Longitudinal</t>
        </is>
      </c>
      <c r="C3" s="11" t="inlineStr">
        <is>
          <t>En-route ATFM performance and historical comparison</t>
        </is>
      </c>
      <c r="D3" s="11" t="inlineStr">
        <is>
          <t>https://www.eurocontrol.int/publication/performance-review-report-prr-2025</t>
        </is>
      </c>
    </row>
    <row r="4">
      <c r="A4" s="11" t="inlineStr">
        <is>
          <t>EUROCONTROL CODA / All-causes delay</t>
        </is>
      </c>
      <c r="B4" s="11" t="inlineStr">
        <is>
          <t>Annual</t>
        </is>
      </c>
      <c r="C4" s="11" t="inlineStr">
        <is>
          <t>Passenger-facing delay/cancellation context</t>
        </is>
      </c>
      <c r="D4" s="11" t="inlineStr">
        <is>
          <t>https://www.eurocontrol.int/publication/all-causes-delays-air-transport-europe-annual-2024</t>
        </is>
      </c>
    </row>
    <row r="5">
      <c r="A5" s="11" t="inlineStr">
        <is>
          <t>EASA Annual Safety Review</t>
        </is>
      </c>
      <c r="B5" s="11" t="inlineStr">
        <is>
          <t>Annual / 10-year comparisons</t>
        </is>
      </c>
      <c r="C5" s="11" t="inlineStr">
        <is>
          <t>ATM/ANS safety occurrence and system-component-failure context</t>
        </is>
      </c>
      <c r="D5" s="11" t="inlineStr">
        <is>
          <t>https://www.easa.europa.eu/en/publication-types/annual-safety-review</t>
        </is>
      </c>
    </row>
    <row r="6">
      <c r="A6" s="11" t="inlineStr">
        <is>
          <t>National military safety / service inquiries</t>
        </is>
      </c>
      <c r="B6" s="11" t="inlineStr">
        <is>
          <t>Event-level</t>
        </is>
      </c>
      <c r="C6" s="11" t="inlineStr">
        <is>
          <t>Military accident cause and investigation outcome</t>
        </is>
      </c>
      <c r="D6" s="11" t="inlineStr">
        <is>
          <t>To be populated per NATO member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style="22" min="1" max="1"/>
    <col width="20" customWidth="1" style="22" min="2" max="2"/>
    <col width="62" customWidth="1" style="22" min="3" max="3"/>
    <col width="62" customWidth="1" style="22" min="4" max="4"/>
    <col width="16" customWidth="1" style="22" min="5" max="5"/>
  </cols>
  <sheetData>
    <row r="1">
      <c r="A1" s="18" t="inlineStr">
        <is>
          <t>Priority</t>
        </is>
      </c>
      <c r="B1" s="18" t="inlineStr">
        <is>
          <t>Workstream</t>
        </is>
      </c>
      <c r="C1" s="18" t="inlineStr">
        <is>
          <t>Task</t>
        </is>
      </c>
      <c r="D1" s="18" t="inlineStr">
        <is>
          <t>Why needed</t>
        </is>
      </c>
      <c r="E1" s="18" t="inlineStr">
        <is>
          <t>Status</t>
        </is>
      </c>
    </row>
    <row r="2">
      <c r="A2" s="11" t="inlineStr">
        <is>
          <t>P0</t>
        </is>
      </c>
      <c r="B2" s="11" t="inlineStr">
        <is>
          <t>2026 civil</t>
        </is>
      </c>
      <c r="C2" s="11" t="inlineStr">
        <is>
          <t>Extract Jan–27 Feb and 28 Feb–23 Sep 2026 official EUROCONTROL monthly/weekly technical-disruption metrics</t>
        </is>
      </c>
      <c r="D2" s="11" t="inlineStr">
        <is>
          <t>Creates same-year before/after comparison</t>
        </is>
      </c>
      <c r="E2" s="11" t="inlineStr">
        <is>
          <t>OPEN</t>
        </is>
      </c>
    </row>
    <row r="3">
      <c r="A3" s="11" t="inlineStr">
        <is>
          <t>P0</t>
        </is>
      </c>
      <c r="B3" s="11" t="inlineStr">
        <is>
          <t>Military</t>
        </is>
      </c>
      <c r="C3" s="11" t="inlineStr">
        <is>
          <t>Build 2016–2025 NATO-member non-hostile military aircraft loss/serious-accident series from national official investigators</t>
        </is>
      </c>
      <c r="D3" s="11" t="inlineStr">
        <is>
          <t>Tests whether 2026 military-loss count is abnormal</t>
        </is>
      </c>
      <c r="E3" s="11" t="inlineStr">
        <is>
          <t>IN PROGRESS</t>
        </is>
      </c>
    </row>
    <row r="4">
      <c r="A4" s="11" t="inlineStr">
        <is>
          <t>P0</t>
        </is>
      </c>
      <c r="B4" s="11" t="inlineStr">
        <is>
          <t>Military</t>
        </is>
      </c>
      <c r="C4" s="11" t="inlineStr">
        <is>
          <t>Add flying-hours / sortie exposure where official national data permit</t>
        </is>
      </c>
      <c r="D4" s="11" t="inlineStr">
        <is>
          <t>Raw crash counts otherwise confounded by activity</t>
        </is>
      </c>
      <c r="E4" s="11" t="inlineStr">
        <is>
          <t>OPEN</t>
        </is>
      </c>
    </row>
    <row r="5">
      <c r="A5" s="11" t="inlineStr">
        <is>
          <t>P1</t>
        </is>
      </c>
      <c r="B5" s="11" t="inlineStr">
        <is>
          <t>Civil technical</t>
        </is>
      </c>
      <c r="C5" s="11" t="inlineStr">
        <is>
          <t>Extract annual event-level equipment/technical disruptions from EUROCONTROL reports 2016–2025</t>
        </is>
      </c>
      <c r="D5" s="11" t="inlineStr">
        <is>
          <t>Tests severity and character, not just generic delay</t>
        </is>
      </c>
      <c r="E5" s="11" t="inlineStr">
        <is>
          <t>IN PROGRESS</t>
        </is>
      </c>
    </row>
    <row r="6">
      <c r="A6" s="11" t="inlineStr">
        <is>
          <t>P1</t>
        </is>
      </c>
      <c r="B6" s="11" t="inlineStr">
        <is>
          <t>GNSS/EW</t>
        </is>
      </c>
      <c r="C6" s="11" t="inlineStr">
        <is>
          <t>Build annual interference series and geography separately</t>
        </is>
      </c>
      <c r="D6" s="11" t="inlineStr">
        <is>
          <t>Prevents conflating known interference environment with accident causation</t>
        </is>
      </c>
      <c r="E6" s="11" t="inlineStr">
        <is>
          <t>OPEN</t>
        </is>
      </c>
    </row>
    <row r="7">
      <c r="A7" s="11" t="inlineStr">
        <is>
          <t>P1</t>
        </is>
      </c>
      <c r="B7" s="11" t="inlineStr">
        <is>
          <t>EASA</t>
        </is>
      </c>
      <c r="C7" s="11" t="inlineStr">
        <is>
          <t>Extract ATM/ANS serious incidents and system-component-failure series consistently</t>
        </is>
      </c>
      <c r="D7" s="11" t="inlineStr">
        <is>
          <t>Independent safety outcome check</t>
        </is>
      </c>
      <c r="E7" s="11" t="inlineStr">
        <is>
          <t>OPEN</t>
        </is>
      </c>
    </row>
    <row r="8">
      <c r="A8" s="11" t="inlineStr">
        <is>
          <t>P2</t>
        </is>
      </c>
      <c r="B8" s="11" t="inlineStr">
        <is>
          <t>VIP</t>
        </is>
      </c>
      <c r="C8" s="11" t="inlineStr">
        <is>
          <t>Backfill significant NATO VIP aviation-safety/security events with identical threshold</t>
        </is>
      </c>
      <c r="D8" s="11" t="inlineStr">
        <is>
          <t>Contextual stream; likely sparse</t>
        </is>
      </c>
      <c r="E8" s="11" t="inlineStr">
        <is>
          <t>OPEN</t>
        </is>
      </c>
    </row>
  </sheetData>
  <dataValidations count="1">
    <dataValidation sqref="E2:E8" showDropDown="0" showInputMessage="0" showErrorMessage="0" allowBlank="0" type="list">
      <formula1>"OPEN,IN PROGRESS,DONE,BLOCKED"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style="22" min="1" max="1"/>
    <col width="55" customWidth="1" style="22" min="2" max="2"/>
    <col width="28" customWidth="1" style="22" min="3" max="3"/>
    <col width="55" customWidth="1" style="22" min="4" max="4"/>
  </cols>
  <sheetData>
    <row r="1">
      <c r="A1" s="25" t="inlineStr">
        <is>
          <t>Causal code</t>
        </is>
      </c>
      <c r="B1" s="25" t="inlineStr">
        <is>
          <t>Definition</t>
        </is>
      </c>
      <c r="C1" s="25" t="inlineStr">
        <is>
          <t>Digital relevance default</t>
        </is>
      </c>
      <c r="D1" s="25" t="inlineStr">
        <is>
          <t>Use rule</t>
        </is>
      </c>
    </row>
    <row r="2">
      <c r="A2" s="11" t="inlineStr">
        <is>
          <t>software_failure</t>
        </is>
      </c>
      <c r="B2" s="11" t="inlineStr">
        <is>
          <t>Software defect, crash, timing/race condition, corrupted processing</t>
        </is>
      </c>
      <c r="C2" s="11" t="inlineStr">
        <is>
          <t>confirmed causal</t>
        </is>
      </c>
      <c r="D2" s="11" t="inlineStr">
        <is>
          <t>Only where source identifies software</t>
        </is>
      </c>
    </row>
    <row r="3">
      <c r="A3" s="11" t="inlineStr">
        <is>
          <t>network_connectivity</t>
        </is>
      </c>
      <c r="B3" s="11" t="inlineStr">
        <is>
          <t>Internal network/data connectivity failure</t>
        </is>
      </c>
      <c r="C3" s="11" t="inlineStr">
        <is>
          <t>confirmed causal</t>
        </is>
      </c>
      <c r="D3" s="11" t="inlineStr">
        <is>
          <t>Network path/connectivity explicitly identified</t>
        </is>
      </c>
    </row>
    <row r="4">
      <c r="A4" s="11" t="inlineStr">
        <is>
          <t>power_failure</t>
        </is>
      </c>
      <c r="B4" s="11" t="inlineStr">
        <is>
          <t>Primary electrical supply failure</t>
        </is>
      </c>
      <c r="C4" s="11" t="inlineStr">
        <is>
          <t>not inherently digital</t>
        </is>
      </c>
      <c r="D4" s="11" t="inlineStr">
        <is>
          <t>Keep backup behaviour separately</t>
        </is>
      </c>
    </row>
    <row r="5">
      <c r="A5" s="11" t="inlineStr">
        <is>
          <t>backup_failure</t>
        </is>
      </c>
      <c r="B5" s="11" t="inlineStr">
        <is>
          <t>Redundancy/backup system failed when demanded</t>
        </is>
      </c>
      <c r="C5" s="11" t="inlineStr">
        <is>
          <t>resilience failure</t>
        </is>
      </c>
      <c r="D5" s="11" t="inlineStr">
        <is>
          <t>Secondary cause / resilience field</t>
        </is>
      </c>
    </row>
    <row r="6">
      <c r="A6" s="11" t="inlineStr">
        <is>
          <t>hardware_failure</t>
        </is>
      </c>
      <c r="B6" s="11" t="inlineStr">
        <is>
          <t>Identified physical computing/ATM equipment failure</t>
        </is>
      </c>
      <c r="C6" s="11" t="inlineStr">
        <is>
          <t>possible/confirmed</t>
        </is>
      </c>
      <c r="D6" s="11" t="inlineStr">
        <is>
          <t>Do not collapse into software</t>
        </is>
      </c>
    </row>
    <row r="7">
      <c r="A7" s="11" t="inlineStr">
        <is>
          <t>comms_failure</t>
        </is>
      </c>
      <c r="B7" s="11" t="inlineStr">
        <is>
          <t>Voice/radio/data communications failure</t>
        </is>
      </c>
      <c r="C7" s="11" t="inlineStr">
        <is>
          <t>information-system relevant</t>
        </is>
      </c>
      <c r="D7" s="11" t="inlineStr">
        <is>
          <t>Specify voice/radio/datalink where known</t>
        </is>
      </c>
    </row>
    <row r="8">
      <c r="A8" s="11" t="inlineStr">
        <is>
          <t>surveillance_failure</t>
        </is>
      </c>
      <c r="B8" s="11" t="inlineStr">
        <is>
          <t>Radar/ADS-B/surveillance degradation</t>
        </is>
      </c>
      <c r="C8" s="11" t="inlineStr">
        <is>
          <t>information-system relevant</t>
        </is>
      </c>
      <c r="D8" s="11" t="inlineStr">
        <is>
          <t>Specify sensor/system where known</t>
        </is>
      </c>
    </row>
    <row r="9">
      <c r="A9" s="11" t="inlineStr">
        <is>
          <t>flight_data_processing</t>
        </is>
      </c>
      <c r="B9" s="11" t="inlineStr">
        <is>
          <t>Flight-plan/trajectory processing failure</t>
        </is>
      </c>
      <c r="C9" s="11" t="inlineStr">
        <is>
          <t>confirmed causal</t>
        </is>
      </c>
      <c r="D9" s="11" t="inlineStr">
        <is>
          <t>ATM processing layer</t>
        </is>
      </c>
    </row>
    <row r="10">
      <c r="A10" s="11" t="inlineStr">
        <is>
          <t>datalink_cpdlc</t>
        </is>
      </c>
      <c r="B10" s="11" t="inlineStr">
        <is>
          <t>Controller–pilot datalink failure</t>
        </is>
      </c>
      <c r="C10" s="11" t="inlineStr">
        <is>
          <t>confirmed causal</t>
        </is>
      </c>
      <c r="D10" s="11" t="inlineStr">
        <is>
          <t>CPDLC/datalink only</t>
        </is>
      </c>
    </row>
    <row r="11">
      <c r="A11" s="11" t="inlineStr">
        <is>
          <t>gnss_jamming</t>
        </is>
      </c>
      <c r="B11" s="11" t="inlineStr">
        <is>
          <t>Intentional denial/degradation of GNSS</t>
        </is>
      </c>
      <c r="C11" s="11" t="inlineStr">
        <is>
          <t>confirmed EW if established</t>
        </is>
      </c>
      <c r="D11" s="11" t="inlineStr">
        <is>
          <t>Do not infer from navigation anomaly alone</t>
        </is>
      </c>
    </row>
    <row r="12">
      <c r="A12" s="11" t="inlineStr">
        <is>
          <t>gnss_spoofing</t>
        </is>
      </c>
      <c r="B12" s="11" t="inlineStr">
        <is>
          <t>Counterfeit GNSS signals causing false PNT</t>
        </is>
      </c>
      <c r="C12" s="11" t="inlineStr">
        <is>
          <t>confirmed EW if established</t>
        </is>
      </c>
      <c r="D12" s="11" t="inlineStr">
        <is>
          <t>Do not infer from navigation anomaly alone</t>
        </is>
      </c>
    </row>
    <row r="13">
      <c r="A13" s="11" t="inlineStr">
        <is>
          <t>other_emi_ew</t>
        </is>
      </c>
      <c r="B13" s="11" t="inlineStr">
        <is>
          <t>Other electromagnetic interference/electronic warfare</t>
        </is>
      </c>
      <c r="C13" s="11" t="inlineStr">
        <is>
          <t>confirmed/suspected</t>
        </is>
      </c>
      <c r="D13" s="11" t="inlineStr">
        <is>
          <t>Requires evidence</t>
        </is>
      </c>
    </row>
    <row r="14">
      <c r="A14" s="11" t="inlineStr">
        <is>
          <t>aircraft_avionics</t>
        </is>
      </c>
      <c r="B14" s="11" t="inlineStr">
        <is>
          <t>Onboard avionics/electronic-system failure</t>
        </is>
      </c>
      <c r="C14" s="11" t="inlineStr">
        <is>
          <t>digital/electronic causal</t>
        </is>
      </c>
      <c r="D14" s="11" t="inlineStr">
        <is>
          <t>Aircraft rather than ATM</t>
        </is>
      </c>
    </row>
    <row r="15">
      <c r="A15" s="11" t="inlineStr">
        <is>
          <t>flight_controls</t>
        </is>
      </c>
      <c r="B15" s="11" t="inlineStr">
        <is>
          <t>Flight-control-system fault</t>
        </is>
      </c>
      <c r="C15" s="11" t="inlineStr">
        <is>
          <t>possible digital/mechanical</t>
        </is>
      </c>
      <c r="D15" s="11" t="inlineStr">
        <is>
          <t>Preserve specific mechanism</t>
        </is>
      </c>
    </row>
    <row r="16">
      <c r="A16" s="11" t="inlineStr">
        <is>
          <t>engine_propulsion</t>
        </is>
      </c>
      <c r="B16" s="11" t="inlineStr">
        <is>
          <t>Engine/propulsion failure</t>
        </is>
      </c>
      <c r="C16" s="11" t="inlineStr">
        <is>
          <t>normally non-digital</t>
        </is>
      </c>
      <c r="D16" s="11" t="inlineStr">
        <is>
          <t>Unless source says control/electronic component</t>
        </is>
      </c>
    </row>
    <row r="17">
      <c r="A17" s="11" t="inlineStr">
        <is>
          <t>structural_mechanical</t>
        </is>
      </c>
      <c r="B17" s="11" t="inlineStr">
        <is>
          <t>Other physical aircraft failure</t>
        </is>
      </c>
      <c r="C17" s="11" t="inlineStr">
        <is>
          <t>normally non-digital</t>
        </is>
      </c>
      <c r="D17" s="11" t="inlineStr">
        <is>
          <t>Mechanical/structural</t>
        </is>
      </c>
    </row>
    <row r="18">
      <c r="A18" s="11" t="inlineStr">
        <is>
          <t>bird_wildlife</t>
        </is>
      </c>
      <c r="B18" s="11" t="inlineStr">
        <is>
          <t>Bird/wildlife strike</t>
        </is>
      </c>
      <c r="C18" s="11" t="inlineStr">
        <is>
          <t>non-digital</t>
        </is>
      </c>
      <c r="D18" s="11" t="inlineStr">
        <is>
          <t>Physical external cause</t>
        </is>
      </c>
    </row>
    <row r="19">
      <c r="A19" s="11" t="inlineStr">
        <is>
          <t>weather</t>
        </is>
      </c>
      <c r="B19" s="11" t="inlineStr">
        <is>
          <t>Weather causal/contributory</t>
        </is>
      </c>
      <c r="C19" s="11" t="inlineStr">
        <is>
          <t>non-digital</t>
        </is>
      </c>
      <c r="D19" s="11" t="inlineStr">
        <is>
          <t>Only when source establishes contribution</t>
        </is>
      </c>
    </row>
    <row r="20">
      <c r="A20" s="11" t="inlineStr">
        <is>
          <t>human_factors</t>
        </is>
      </c>
      <c r="B20" s="11" t="inlineStr">
        <is>
          <t>Crew/controller/human-performance contribution</t>
        </is>
      </c>
      <c r="C20" s="11" t="inlineStr">
        <is>
          <t>non-digital</t>
        </is>
      </c>
      <c r="D20" s="11" t="inlineStr">
        <is>
          <t>Only when established; no speculation</t>
        </is>
      </c>
    </row>
    <row r="21">
      <c r="A21" s="11" t="inlineStr">
        <is>
          <t>collision</t>
        </is>
      </c>
      <c r="B21" s="11" t="inlineStr">
        <is>
          <t>Aircraft-aircraft/object collision</t>
        </is>
      </c>
      <c r="C21" s="11" t="inlineStr">
        <is>
          <t>non-digital mechanism</t>
        </is>
      </c>
      <c r="D21" s="11" t="inlineStr">
        <is>
          <t>Underlying cause may remain unresolved</t>
        </is>
      </c>
    </row>
    <row r="22">
      <c r="A22" s="11" t="inlineStr">
        <is>
          <t>friendly_fire</t>
        </is>
      </c>
      <c r="B22" s="11" t="inlineStr">
        <is>
          <t>Friendly kinetic action</t>
        </is>
      </c>
      <c r="C22" s="11" t="inlineStr">
        <is>
          <t>direct military</t>
        </is>
      </c>
      <c r="D22" s="11" t="inlineStr">
        <is>
          <t>Separate from non-hostile accident count</t>
        </is>
      </c>
    </row>
    <row r="23">
      <c r="A23" s="11" t="inlineStr">
        <is>
          <t>hostile_fire</t>
        </is>
      </c>
      <c r="B23" s="11" t="inlineStr">
        <is>
          <t>Enemy kinetic action</t>
        </is>
      </c>
      <c r="C23" s="11" t="inlineStr">
        <is>
          <t>direct military</t>
        </is>
      </c>
      <c r="D23" s="11" t="inlineStr">
        <is>
          <t>Separate from non-hostile accident count</t>
        </is>
      </c>
    </row>
    <row r="24">
      <c r="A24" s="11" t="inlineStr">
        <is>
          <t>security_threat</t>
        </is>
      </c>
      <c r="B24" s="11" t="inlineStr">
        <is>
          <t>Threat assessment changes aviation operation</t>
        </is>
      </c>
      <c r="C24" s="11" t="inlineStr">
        <is>
          <t>security environment</t>
        </is>
      </c>
      <c r="D24" s="11" t="inlineStr">
        <is>
          <t>VIP/protective stream</t>
        </is>
      </c>
    </row>
    <row r="25">
      <c r="A25" s="11" t="inlineStr">
        <is>
          <t>unknown_investigation</t>
        </is>
      </c>
      <c r="B25" s="11" t="inlineStr">
        <is>
          <t>Investigation ongoing/no cause yet published</t>
        </is>
      </c>
      <c r="C25" s="11" t="inlineStr">
        <is>
          <t>unknown</t>
        </is>
      </c>
      <c r="D25" s="11" t="inlineStr">
        <is>
          <t>Not evidence of digital involvement</t>
        </is>
      </c>
    </row>
    <row r="26">
      <c r="A26" s="11" t="inlineStr">
        <is>
          <t>unknown_no_public_explanation</t>
        </is>
      </c>
      <c r="B26" s="11" t="inlineStr">
        <is>
          <t>No adequate public causal account found</t>
        </is>
      </c>
      <c r="C26" s="11" t="inlineStr">
        <is>
          <t>unknown</t>
        </is>
      </c>
      <c r="D26" s="11" t="inlineStr">
        <is>
          <t>Use only after reasonable source search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14" customWidth="1" style="22" min="1" max="1"/>
    <col width="27" customWidth="1" style="22" min="2" max="2"/>
    <col width="24" customWidth="1" style="22" min="3" max="3"/>
    <col width="27" customWidth="1" style="22" min="4" max="4"/>
    <col width="28" customWidth="1" style="22" min="5" max="5"/>
    <col width="34" customWidth="1" style="22" min="6" max="6"/>
    <col width="26" customWidth="1" style="22" min="7" max="7"/>
    <col width="28" customWidth="1" style="22" min="8" max="8"/>
    <col width="48" customWidth="1" style="22" min="9" max="9"/>
    <col width="23" customWidth="1" style="22" min="10" max="10"/>
    <col width="26" customWidth="1" style="22" min="11" max="11"/>
    <col width="28" customWidth="1" style="22" min="12" max="12"/>
    <col width="16" customWidth="1" style="22" min="13" max="13"/>
    <col width="27" customWidth="1" style="22" min="14" max="14"/>
    <col width="28" customWidth="1" style="22" min="15" max="15"/>
    <col width="48" customWidth="1" style="22" min="16" max="16"/>
    <col width="52" customWidth="1" style="22" min="17" max="17"/>
    <col width="42" customWidth="1" style="22" min="18" max="18"/>
  </cols>
  <sheetData>
    <row r="1">
      <c r="A1" s="25" t="inlineStr">
        <is>
          <t>Date</t>
        </is>
      </c>
      <c r="B1" s="25" t="inlineStr">
        <is>
          <t>Period</t>
        </is>
      </c>
      <c r="C1" s="25" t="inlineStr">
        <is>
          <t>Country/region</t>
        </is>
      </c>
      <c r="D1" s="25" t="inlineStr">
        <is>
          <t>Stream</t>
        </is>
      </c>
      <c r="E1" s="25" t="inlineStr">
        <is>
          <t>Operator/system</t>
        </is>
      </c>
      <c r="F1" s="25" t="inlineStr">
        <is>
          <t>Event</t>
        </is>
      </c>
      <c r="G1" s="25" t="inlineStr">
        <is>
          <t>Proximate cause</t>
        </is>
      </c>
      <c r="H1" s="25" t="inlineStr">
        <is>
          <t>Secondary/resilience cause</t>
        </is>
      </c>
      <c r="I1" s="25" t="inlineStr">
        <is>
          <t>Mechanism/detail</t>
        </is>
      </c>
      <c r="J1" s="25" t="inlineStr">
        <is>
          <t>Cause confidence</t>
        </is>
      </c>
      <c r="K1" s="25" t="inlineStr">
        <is>
          <t>Digital relevance</t>
        </is>
      </c>
      <c r="L1" s="25" t="inlineStr">
        <is>
          <t>War/EW relevance</t>
        </is>
      </c>
      <c r="M1" s="25" t="inlineStr">
        <is>
          <t>Hostile action</t>
        </is>
      </c>
      <c r="N1" s="25" t="inlineStr">
        <is>
          <t>Public explanation status</t>
        </is>
      </c>
      <c r="O1" s="25" t="inlineStr">
        <is>
          <t>Impact/severity</t>
        </is>
      </c>
      <c r="P1" s="25" t="inlineStr">
        <is>
          <t>Why this row matters</t>
        </is>
      </c>
      <c r="Q1" s="25" t="inlineStr">
        <is>
          <t>Primary source URL</t>
        </is>
      </c>
      <c r="R1" s="25" t="inlineStr">
        <is>
          <t>Notes / next check</t>
        </is>
      </c>
    </row>
    <row r="2">
      <c r="A2" s="11" t="inlineStr">
        <is>
          <t>2016-01-18</t>
        </is>
      </c>
      <c r="B2" s="11" t="inlineStr">
        <is>
          <t>Pre-COVID baseline</t>
        </is>
      </c>
      <c r="C2" s="11" t="inlineStr">
        <is>
          <t>Germany</t>
        </is>
      </c>
      <c r="D2" s="11" t="inlineStr">
        <is>
          <t>civil ATM/infrastructure</t>
        </is>
      </c>
      <c r="E2" s="11" t="inlineStr">
        <is>
          <t>Frankfurt/Main</t>
        </is>
      </c>
      <c r="F2" s="11" t="inlineStr">
        <is>
          <t>VOR unserviceability</t>
        </is>
      </c>
      <c r="G2" s="11" t="inlineStr">
        <is>
          <t>hardware_failure</t>
        </is>
      </c>
      <c r="H2" s="11" t="str"/>
      <c r="I2" s="11" t="inlineStr">
        <is>
          <t>VOR/navigation aid unavailable</t>
        </is>
      </c>
      <c r="J2" s="11" t="inlineStr">
        <is>
          <t>official reported</t>
        </is>
      </c>
      <c r="K2" s="11" t="inlineStr">
        <is>
          <t>information-system relevant</t>
        </is>
      </c>
      <c r="L2" s="11" t="inlineStr">
        <is>
          <t>none demonstrated</t>
        </is>
      </c>
      <c r="M2" s="11" t="inlineStr">
        <is>
          <t>no</t>
        </is>
      </c>
      <c r="N2" s="11" t="inlineStr">
        <is>
          <t>explained at system level</t>
        </is>
      </c>
      <c r="O2" s="11" t="inlineStr">
        <is>
          <t>2,452 ATFM delay min</t>
        </is>
      </c>
      <c r="P2" s="11" t="inlineStr">
        <is>
          <t>Historical navigation-system failure comparator</t>
        </is>
      </c>
      <c r="Q2" s="11" t="inlineStr">
        <is>
          <t>https://www.eurocontrol.int/sites/default/files/publication/files/nm-annual-network-operations-report-2016-main-report.pdf</t>
        </is>
      </c>
      <c r="R2" s="11" t="inlineStr">
        <is>
          <t>Underlying component root cause not extracted yet</t>
        </is>
      </c>
    </row>
    <row r="3">
      <c r="A3" s="11" t="inlineStr">
        <is>
          <t>2016-01-21</t>
        </is>
      </c>
      <c r="B3" s="11" t="inlineStr">
        <is>
          <t>Pre-COVID baseline</t>
        </is>
      </c>
      <c r="C3" s="11" t="inlineStr">
        <is>
          <t>Türkiye</t>
        </is>
      </c>
      <c r="D3" s="11" t="inlineStr">
        <is>
          <t>civil ATM/infrastructure</t>
        </is>
      </c>
      <c r="E3" s="11" t="inlineStr">
        <is>
          <t>Istanbul airports</t>
        </is>
      </c>
      <c r="F3" s="11" t="inlineStr">
        <is>
          <t>Radar and frequency problems</t>
        </is>
      </c>
      <c r="G3" s="11" t="inlineStr">
        <is>
          <t>surveillance_failure</t>
        </is>
      </c>
      <c r="H3" s="11" t="inlineStr">
        <is>
          <t>comms_failure</t>
        </is>
      </c>
      <c r="I3" s="11" t="inlineStr">
        <is>
          <t>Radar plus frequency problems</t>
        </is>
      </c>
      <c r="J3" s="11" t="inlineStr">
        <is>
          <t>official reported</t>
        </is>
      </c>
      <c r="K3" s="11" t="inlineStr">
        <is>
          <t>information-system relevant</t>
        </is>
      </c>
      <c r="L3" s="11" t="inlineStr">
        <is>
          <t>none demonstrated</t>
        </is>
      </c>
      <c r="M3" s="11" t="inlineStr">
        <is>
          <t>no</t>
        </is>
      </c>
      <c r="N3" s="11" t="inlineStr">
        <is>
          <t>explained at system level</t>
        </is>
      </c>
      <c r="O3" s="11" t="inlineStr">
        <is>
          <t>12,656 ATFM delay min</t>
        </is>
      </c>
      <c r="P3" s="11" t="inlineStr">
        <is>
          <t>Large pre-war surveillance/comms comparator</t>
        </is>
      </c>
      <c r="Q3" s="11" t="inlineStr">
        <is>
          <t>https://www.eurocontrol.int/sites/default/files/publication/files/nm-annual-network-operations-report-2016-main-report.pdf</t>
        </is>
      </c>
      <c r="R3" s="11" t="str"/>
    </row>
    <row r="4">
      <c r="A4" s="11" t="inlineStr">
        <is>
          <t>2016-02-04</t>
        </is>
      </c>
      <c r="B4" s="11" t="inlineStr">
        <is>
          <t>Pre-COVID baseline</t>
        </is>
      </c>
      <c r="C4" s="11" t="inlineStr">
        <is>
          <t>Germany</t>
        </is>
      </c>
      <c r="D4" s="11" t="inlineStr">
        <is>
          <t>civil ATM/infrastructure</t>
        </is>
      </c>
      <c r="E4" s="11" t="inlineStr">
        <is>
          <t>Frankfurt/Main</t>
        </is>
      </c>
      <c r="F4" s="11" t="inlineStr">
        <is>
          <t>ILS unserviceability</t>
        </is>
      </c>
      <c r="G4" s="11" t="inlineStr">
        <is>
          <t>hardware_failure</t>
        </is>
      </c>
      <c r="H4" s="11" t="str"/>
      <c r="I4" s="11" t="inlineStr">
        <is>
          <t>Instrument landing system unavailable</t>
        </is>
      </c>
      <c r="J4" s="11" t="inlineStr">
        <is>
          <t>official reported</t>
        </is>
      </c>
      <c r="K4" s="11" t="inlineStr">
        <is>
          <t>information-system relevant</t>
        </is>
      </c>
      <c r="L4" s="11" t="inlineStr">
        <is>
          <t>none demonstrated</t>
        </is>
      </c>
      <c r="M4" s="11" t="inlineStr">
        <is>
          <t>no</t>
        </is>
      </c>
      <c r="N4" s="11" t="inlineStr">
        <is>
          <t>explained at system level</t>
        </is>
      </c>
      <c r="O4" s="11" t="inlineStr">
        <is>
          <t>1,295 ATFM delay min</t>
        </is>
      </c>
      <c r="P4" s="11" t="inlineStr">
        <is>
          <t>Historical landing/navigation failure comparator</t>
        </is>
      </c>
      <c r="Q4" s="11" t="inlineStr">
        <is>
          <t>https://www.eurocontrol.int/sites/default/files/publication/files/nm-annual-network-operations-report-2016-main-report.pdf</t>
        </is>
      </c>
      <c r="R4" s="11" t="str"/>
    </row>
    <row r="5">
      <c r="A5" s="11" t="inlineStr">
        <is>
          <t>2016-02-20</t>
        </is>
      </c>
      <c r="B5" s="11" t="inlineStr">
        <is>
          <t>Pre-COVID baseline</t>
        </is>
      </c>
      <c r="C5" s="11" t="inlineStr">
        <is>
          <t>Switzerland</t>
        </is>
      </c>
      <c r="D5" s="11" t="inlineStr">
        <is>
          <t>civil ATM/infrastructure</t>
        </is>
      </c>
      <c r="E5" s="11" t="inlineStr">
        <is>
          <t>Zurich</t>
        </is>
      </c>
      <c r="F5" s="11" t="inlineStr">
        <is>
          <t>Radio-navigation / direction-finder problems</t>
        </is>
      </c>
      <c r="G5" s="11" t="inlineStr">
        <is>
          <t>hardware_failure</t>
        </is>
      </c>
      <c r="H5" s="11" t="str"/>
      <c r="I5" s="11" t="inlineStr">
        <is>
          <t>Radio-navigation equipment problem</t>
        </is>
      </c>
      <c r="J5" s="11" t="inlineStr">
        <is>
          <t>official reported</t>
        </is>
      </c>
      <c r="K5" s="11" t="inlineStr">
        <is>
          <t>information-system relevant</t>
        </is>
      </c>
      <c r="L5" s="11" t="inlineStr">
        <is>
          <t>none demonstrated</t>
        </is>
      </c>
      <c r="M5" s="11" t="inlineStr">
        <is>
          <t>no</t>
        </is>
      </c>
      <c r="N5" s="11" t="inlineStr">
        <is>
          <t>explained at system level</t>
        </is>
      </c>
      <c r="O5" s="11" t="inlineStr">
        <is>
          <t>1,024 ATFM delay min</t>
        </is>
      </c>
      <c r="P5" s="11" t="inlineStr">
        <is>
          <t>Historical radio-navigation comparator</t>
        </is>
      </c>
      <c r="Q5" s="11" t="inlineStr">
        <is>
          <t>https://www.eurocontrol.int/sites/default/files/publication/files/nm-annual-network-operations-report-2016-main-report.pdf</t>
        </is>
      </c>
      <c r="R5" s="11" t="str"/>
    </row>
    <row r="6">
      <c r="A6" s="11" t="inlineStr">
        <is>
          <t>2018-04-03</t>
        </is>
      </c>
      <c r="B6" s="11" t="inlineStr">
        <is>
          <t>Pre-COVID baseline</t>
        </is>
      </c>
      <c r="C6" s="11" t="inlineStr">
        <is>
          <t>EUROCONTROL area</t>
        </is>
      </c>
      <c r="D6" s="11" t="inlineStr">
        <is>
          <t>civil ATM/infrastructure</t>
        </is>
      </c>
      <c r="E6" s="11" t="inlineStr">
        <is>
          <t>Network Manager</t>
        </is>
      </c>
      <c r="F6" s="11" t="inlineStr">
        <is>
          <t>Central technical-system outage</t>
        </is>
      </c>
      <c r="G6" s="11" t="inlineStr">
        <is>
          <t>hardware_failure</t>
        </is>
      </c>
      <c r="H6" s="11" t="str"/>
      <c r="I6" s="11" t="inlineStr">
        <is>
          <t>NM technical system unavailable; contingency capacity reductions</t>
        </is>
      </c>
      <c r="J6" s="11" t="inlineStr">
        <is>
          <t>official reported</t>
        </is>
      </c>
      <c r="K6" s="11" t="inlineStr">
        <is>
          <t>information-system relevant</t>
        </is>
      </c>
      <c r="L6" s="11" t="inlineStr">
        <is>
          <t>none demonstrated</t>
        </is>
      </c>
      <c r="M6" s="11" t="inlineStr">
        <is>
          <t>no</t>
        </is>
      </c>
      <c r="N6" s="11" t="inlineStr">
        <is>
          <t>explained at system level</t>
        </is>
      </c>
      <c r="O6" s="11" t="inlineStr">
        <is>
          <t>Network-wide contingency measures</t>
        </is>
      </c>
      <c r="P6" s="11" t="inlineStr">
        <is>
          <t>Major pre-2026 central-system outage comparator</t>
        </is>
      </c>
      <c r="Q6" s="11" t="inlineStr">
        <is>
          <t>https://www.eurocontrol.int/publication/annual-network-operations-report-2018</t>
        </is>
      </c>
      <c r="R6" s="11" t="inlineStr">
        <is>
          <t>Need deeper report extraction for exact root cause</t>
        </is>
      </c>
    </row>
    <row r="7">
      <c r="A7" s="11" t="inlineStr">
        <is>
          <t>2024-07-19</t>
        </is>
      </c>
      <c r="B7" s="11" t="inlineStr">
        <is>
          <t>Post-COVID / Ukraine-war baseline</t>
        </is>
      </c>
      <c r="C7" s="11" t="inlineStr">
        <is>
          <t>Europe/US</t>
        </is>
      </c>
      <c r="D7" s="11" t="inlineStr">
        <is>
          <t>civil airline/airport IT</t>
        </is>
      </c>
      <c r="E7" s="11" t="inlineStr">
        <is>
          <t>Multiple carriers/airports</t>
        </is>
      </c>
      <c r="F7" s="11" t="inlineStr">
        <is>
          <t>CrowdStrike/Microsoft-related disruption</t>
        </is>
      </c>
      <c r="G7" s="11" t="inlineStr">
        <is>
          <t>software_failure</t>
        </is>
      </c>
      <c r="H7" s="11" t="str"/>
      <c r="I7" s="11" t="inlineStr">
        <is>
          <t>Cloud-based systems used by carriers affected; passenger booking/check-in impacted</t>
        </is>
      </c>
      <c r="J7" s="11" t="inlineStr">
        <is>
          <t>confirmed external technical event</t>
        </is>
      </c>
      <c r="K7" s="11" t="inlineStr">
        <is>
          <t>confirmed causal</t>
        </is>
      </c>
      <c r="L7" s="11" t="inlineStr">
        <is>
          <t>none demonstrated</t>
        </is>
      </c>
      <c r="M7" s="11" t="inlineStr">
        <is>
          <t>no</t>
        </is>
      </c>
      <c r="N7" s="11" t="inlineStr">
        <is>
          <t>explained</t>
        </is>
      </c>
      <c r="O7" s="11" t="inlineStr">
        <is>
          <t>Widespread carrier/airport disruption</t>
        </is>
      </c>
      <c r="P7" s="11" t="inlineStr">
        <is>
          <t>Excellent non-war-period mass digital-failure comparator</t>
        </is>
      </c>
      <c r="Q7" s="11" t="inlineStr">
        <is>
          <t>https://www.eurocontrol.int/sites/default/files/2025-05/eurocontrol-annual-network-operations-report-2024.pdf</t>
        </is>
      </c>
      <c r="R7" s="11" t="inlineStr">
        <is>
          <t>Do not treat as ATM failure; airline/airport IT layer</t>
        </is>
      </c>
    </row>
    <row r="8">
      <c r="A8" s="11" t="inlineStr">
        <is>
          <t>2026-03-25</t>
        </is>
      </c>
      <c r="B8" s="11" t="inlineStr">
        <is>
          <t>Iran-war observation</t>
        </is>
      </c>
      <c r="C8" s="11" t="inlineStr">
        <is>
          <t>Europe</t>
        </is>
      </c>
      <c r="D8" s="11" t="inlineStr">
        <is>
          <t>GNSS/EW environment</t>
        </is>
      </c>
      <c r="E8" s="11" t="inlineStr">
        <is>
          <t>EASA/EUROCONTROL</t>
        </is>
      </c>
      <c r="F8" s="11" t="inlineStr">
        <is>
          <t>Joint GNSS interference action plan</t>
        </is>
      </c>
      <c r="G8" s="11" t="inlineStr">
        <is>
          <t>gnss_jamming</t>
        </is>
      </c>
      <c r="H8" s="11" t="str"/>
      <c r="I8" s="11" t="inlineStr">
        <is>
          <t>Interference regular near conflict zones; safety/resilience threat</t>
        </is>
      </c>
      <c r="J8" s="11" t="inlineStr">
        <is>
          <t>official assessment</t>
        </is>
      </c>
      <c r="K8" s="11" t="inlineStr">
        <is>
          <t>confirmed environmental</t>
        </is>
      </c>
      <c r="L8" s="11" t="inlineStr">
        <is>
          <t>documented wartime EW environment</t>
        </is>
      </c>
      <c r="M8" s="11" t="inlineStr">
        <is>
          <t>not an accident</t>
        </is>
      </c>
      <c r="N8" s="11" t="inlineStr">
        <is>
          <t>publicly acknowledged threat</t>
        </is>
      </c>
      <c r="O8" s="11" t="inlineStr">
        <is>
          <t>European action plan launched</t>
        </is>
      </c>
      <c r="P8" s="11" t="inlineStr">
        <is>
          <t>Marks official recognition of wartime PNT threat</t>
        </is>
      </c>
      <c r="Q8" s="11" t="inlineStr">
        <is>
          <t>https://www.easa.europa.eu/en/newsroom-and-events/press-releases/easa-and-eurocontrol-publish-joint-action-plan-ensure-safe</t>
        </is>
      </c>
      <c r="R8" s="11" t="inlineStr">
        <is>
          <t>Environmental row, not causal attribution to a crash</t>
        </is>
      </c>
    </row>
    <row r="9">
      <c r="A9" s="11" t="inlineStr">
        <is>
          <t>2026-07-03</t>
        </is>
      </c>
      <c r="B9" s="11" t="inlineStr">
        <is>
          <t>Iran-war observation</t>
        </is>
      </c>
      <c r="C9" s="11" t="inlineStr">
        <is>
          <t>Europe/neighbouring airspace</t>
        </is>
      </c>
      <c r="D9" s="11" t="inlineStr">
        <is>
          <t>GNSS/EW environment</t>
        </is>
      </c>
      <c r="E9" s="11" t="inlineStr">
        <is>
          <t>EASA</t>
        </is>
      </c>
      <c r="F9" s="11" t="inlineStr">
        <is>
          <t>GNSS SIB Revision 4</t>
        </is>
      </c>
      <c r="G9" s="11" t="inlineStr">
        <is>
          <t>gnss_jamming</t>
        </is>
      </c>
      <c r="H9" s="11" t="inlineStr">
        <is>
          <t>gnss_spoofing</t>
        </is>
      </c>
      <c r="I9" s="11" t="inlineStr">
        <is>
          <t>Recent jamming/spoofing occurrences prompted new mitigations</t>
        </is>
      </c>
      <c r="J9" s="11" t="inlineStr">
        <is>
          <t>official assessment</t>
        </is>
      </c>
      <c r="K9" s="11" t="inlineStr">
        <is>
          <t>confirmed environmental</t>
        </is>
      </c>
      <c r="L9" s="11" t="inlineStr">
        <is>
          <t>documented wartime/conflict-zone relevance</t>
        </is>
      </c>
      <c r="M9" s="11" t="inlineStr">
        <is>
          <t>not an accident</t>
        </is>
      </c>
      <c r="N9" s="11" t="inlineStr">
        <is>
          <t>publicly acknowledged threat</t>
        </is>
      </c>
      <c r="O9" s="11" t="inlineStr">
        <is>
          <t>Operational/training/ATC mitigations</t>
        </is>
      </c>
      <c r="P9" s="11" t="inlineStr">
        <is>
          <t>Shows interference severity/sophistication is independently documented</t>
        </is>
      </c>
      <c r="Q9" s="11" t="inlineStr">
        <is>
          <t>https://www.easa.europa.eu/en/newsroom-and-events/news/easa-updates-safety-information-bulletin-gnss-interference</t>
        </is>
      </c>
      <c r="R9" s="11" t="str"/>
    </row>
    <row r="10">
      <c r="A10" s="11" t="inlineStr">
        <is>
          <t>2026-09-17</t>
        </is>
      </c>
      <c r="B10" s="11" t="inlineStr">
        <is>
          <t>Iran-war observation</t>
        </is>
      </c>
      <c r="C10" s="11" t="inlineStr">
        <is>
          <t>NATO/European FIRs</t>
        </is>
      </c>
      <c r="D10" s="11" t="inlineStr">
        <is>
          <t>GNSS/EW environment</t>
        </is>
      </c>
      <c r="E10" s="11" t="inlineStr">
        <is>
          <t>EASA monitoring</t>
        </is>
      </c>
      <c r="F10" s="11" t="inlineStr">
        <is>
          <t>Multiple FIRs affected by GNSS interference</t>
        </is>
      </c>
      <c r="G10" s="11" t="inlineStr">
        <is>
          <t>gnss_jamming</t>
        </is>
      </c>
      <c r="H10" s="11" t="inlineStr">
        <is>
          <t>gnss_spoofing</t>
        </is>
      </c>
      <c r="I10" s="11" t="inlineStr">
        <is>
          <t>Affected FIR list includes Ankara, Istanbul, Bucharest, Sofia, Warsaw, Tallinn, Helsinki, Riga, Vilnius</t>
        </is>
      </c>
      <c r="J10" s="11" t="inlineStr">
        <is>
          <t>official monitoring</t>
        </is>
      </c>
      <c r="K10" s="11" t="inlineStr">
        <is>
          <t>confirmed environmental</t>
        </is>
      </c>
      <c r="L10" s="11" t="inlineStr">
        <is>
          <t>documented conflict-zone-linked interference</t>
        </is>
      </c>
      <c r="M10" s="11" t="inlineStr">
        <is>
          <t>not an accident</t>
        </is>
      </c>
      <c r="N10" s="11" t="inlineStr">
        <is>
          <t>publicly acknowledged threat</t>
        </is>
      </c>
      <c r="O10" s="11" t="inlineStr">
        <is>
          <t>Multi-country information environment</t>
        </is>
      </c>
      <c r="P10" s="11" t="inlineStr">
        <is>
          <t>Provides geographic overlap without proving incident causation</t>
        </is>
      </c>
      <c r="Q10" s="11" t="inlineStr">
        <is>
          <t>https://www.easa.europa.eu/en/domains/air-operations/global-navigation-satellite-system-outages-and-alterations</t>
        </is>
      </c>
      <c r="R10" s="11" t="inlineStr">
        <is>
          <t>Snapshot dated 17 Sep 2026</t>
        </is>
      </c>
    </row>
    <row r="11">
      <c r="A11" t="inlineStr">
        <is>
          <t>2023-06-03</t>
        </is>
      </c>
      <c r="B11" t="inlineStr">
        <is>
          <t>Post-COVID / Ukraine-war baseline</t>
        </is>
      </c>
      <c r="C11" t="inlineStr">
        <is>
          <t>Germany</t>
        </is>
      </c>
      <c r="D11" t="inlineStr">
        <is>
          <t>civil ATM/infrastructure</t>
        </is>
      </c>
      <c r="E11" t="inlineStr">
        <is>
          <t>München ACC</t>
        </is>
      </c>
      <c r="F11" t="inlineStr">
        <is>
          <t>ICAS2 ATM-system transition</t>
        </is>
      </c>
      <c r="G11" t="inlineStr">
        <is>
          <t>flight_data_processing</t>
        </is>
      </c>
      <c r="I11" t="inlineStr">
        <is>
          <t>Transition to new ATM system ICAS2</t>
        </is>
      </c>
      <c r="J11" t="inlineStr">
        <is>
          <t>official reported</t>
        </is>
      </c>
      <c r="K11" t="inlineStr">
        <is>
          <t>information-system relevant</t>
        </is>
      </c>
      <c r="L11" t="inlineStr">
        <is>
          <t>none demonstrated</t>
        </is>
      </c>
      <c r="M11" t="inlineStr">
        <is>
          <t>no</t>
        </is>
      </c>
      <c r="N11" t="inlineStr">
        <is>
          <t>explained at system level</t>
        </is>
      </c>
      <c r="O11" t="inlineStr">
        <is>
          <t>111,766 ATFM delay min</t>
        </is>
      </c>
      <c r="P11" t="inlineStr">
        <is>
          <t>Large software/system-change comparator</t>
        </is>
      </c>
      <c r="Q11" t="inlineStr">
        <is>
          <t>https://www.eurocontrol.int/sites/default/files/2023-07/eurocontrol-nm-monthly-network-operations-report-june-2023.pdf</t>
        </is>
      </c>
      <c r="R11" t="inlineStr">
        <is>
          <t>Not necessarily a fault: retained as system-transition disruption</t>
        </is>
      </c>
    </row>
    <row r="12">
      <c r="A12" t="inlineStr">
        <is>
          <t>2023-06-01</t>
        </is>
      </c>
      <c r="B12" t="inlineStr">
        <is>
          <t>Post-COVID / Ukraine-war baseline</t>
        </is>
      </c>
      <c r="C12" t="inlineStr">
        <is>
          <t>France</t>
        </is>
      </c>
      <c r="D12" t="inlineStr">
        <is>
          <t>civil ATM/infrastructure</t>
        </is>
      </c>
      <c r="E12" t="inlineStr">
        <is>
          <t>Paris ACC</t>
        </is>
      </c>
      <c r="F12" t="inlineStr">
        <is>
          <t>New FDPS implementation</t>
        </is>
      </c>
      <c r="G12" t="inlineStr">
        <is>
          <t>flight_data_processing</t>
        </is>
      </c>
      <c r="I12" t="inlineStr">
        <is>
          <t>Implementation of new flight-data-processing system</t>
        </is>
      </c>
      <c r="J12" t="inlineStr">
        <is>
          <t>official reported</t>
        </is>
      </c>
      <c r="K12" t="inlineStr">
        <is>
          <t>information-system relevant</t>
        </is>
      </c>
      <c r="L12" t="inlineStr">
        <is>
          <t>none demonstrated</t>
        </is>
      </c>
      <c r="M12" t="inlineStr">
        <is>
          <t>no</t>
        </is>
      </c>
      <c r="N12" t="inlineStr">
        <is>
          <t>explained at system level</t>
        </is>
      </c>
      <c r="O12" t="inlineStr">
        <is>
          <t>19,986 ATFM delay min during month</t>
        </is>
      </c>
      <c r="P12" t="inlineStr">
        <is>
          <t>Shows major disruption can arise from planned digital-system change</t>
        </is>
      </c>
      <c r="Q12" t="inlineStr">
        <is>
          <t>https://www.eurocontrol.int/sites/default/files/2023-07/eurocontrol-nm-monthly-network-operations-report-june-2023.pdf</t>
        </is>
      </c>
      <c r="R12" t="inlineStr">
        <is>
          <t>Date coded to month start because report gives monthly total</t>
        </is>
      </c>
    </row>
    <row r="13">
      <c r="A13" t="inlineStr">
        <is>
          <t>2023-06-03</t>
        </is>
      </c>
      <c r="B13" t="inlineStr">
        <is>
          <t>Post-COVID / Ukraine-war baseline</t>
        </is>
      </c>
      <c r="C13" t="inlineStr">
        <is>
          <t>Greece</t>
        </is>
      </c>
      <c r="D13" t="inlineStr">
        <is>
          <t>civil ATM/infrastructure</t>
        </is>
      </c>
      <c r="E13" t="inlineStr">
        <is>
          <t>Athens ACC</t>
        </is>
      </c>
      <c r="F13" t="inlineStr">
        <is>
          <t>Radar issues</t>
        </is>
      </c>
      <c r="G13" t="inlineStr">
        <is>
          <t>surveillance_failure</t>
        </is>
      </c>
      <c r="I13" t="inlineStr">
        <is>
          <t>Radar issues on 3 and 11 June</t>
        </is>
      </c>
      <c r="J13" t="inlineStr">
        <is>
          <t>official reported</t>
        </is>
      </c>
      <c r="K13" t="inlineStr">
        <is>
          <t>information-system relevant</t>
        </is>
      </c>
      <c r="L13" t="inlineStr">
        <is>
          <t>none demonstrated</t>
        </is>
      </c>
      <c r="M13" t="inlineStr">
        <is>
          <t>no</t>
        </is>
      </c>
      <c r="N13" t="inlineStr">
        <is>
          <t>explained at system level</t>
        </is>
      </c>
      <c r="O13" t="inlineStr">
        <is>
          <t>4,496 ATFM delay min</t>
        </is>
      </c>
      <c r="P13" t="inlineStr">
        <is>
          <t>Direct surveillance-system comparator</t>
        </is>
      </c>
      <c r="Q13" t="inlineStr">
        <is>
          <t>https://www.eurocontrol.int/sites/default/files/2023-07/eurocontrol-nm-monthly-network-operations-report-june-2023.pdf</t>
        </is>
      </c>
    </row>
    <row r="14">
      <c r="A14" t="inlineStr">
        <is>
          <t>2023-06-14</t>
        </is>
      </c>
      <c r="B14" t="inlineStr">
        <is>
          <t>Post-COVID / Ukraine-war baseline</t>
        </is>
      </c>
      <c r="C14" t="inlineStr">
        <is>
          <t>United Kingdom</t>
        </is>
      </c>
      <c r="D14" t="inlineStr">
        <is>
          <t>civil ATM/infrastructure</t>
        </is>
      </c>
      <c r="E14" t="inlineStr">
        <is>
          <t>London ACC</t>
        </is>
      </c>
      <c r="F14" t="inlineStr">
        <is>
          <t>Computer system failure</t>
        </is>
      </c>
      <c r="G14" t="inlineStr">
        <is>
          <t>hardware_failure</t>
        </is>
      </c>
      <c r="I14" t="inlineStr">
        <is>
          <t>Computer system failure</t>
        </is>
      </c>
      <c r="J14" t="inlineStr">
        <is>
          <t>official reported</t>
        </is>
      </c>
      <c r="K14" t="inlineStr">
        <is>
          <t>information-system relevant</t>
        </is>
      </c>
      <c r="L14" t="inlineStr">
        <is>
          <t>none demonstrated</t>
        </is>
      </c>
      <c r="M14" t="inlineStr">
        <is>
          <t>no</t>
        </is>
      </c>
      <c r="N14" t="inlineStr">
        <is>
          <t>explained at system level</t>
        </is>
      </c>
      <c r="O14" t="inlineStr">
        <is>
          <t>12,450 ATFM delay min</t>
        </is>
      </c>
      <c r="P14" t="inlineStr">
        <is>
          <t>Very useful pre-2026 UK digital-system comparator</t>
        </is>
      </c>
      <c r="Q14" t="inlineStr">
        <is>
          <t>https://www.eurocontrol.int/sites/default/files/2023-07/eurocontrol-nm-monthly-network-operations-report-june-2023.pdf</t>
        </is>
      </c>
      <c r="R14" t="inlineStr">
        <is>
          <t>Root component not specified in monthly report</t>
        </is>
      </c>
    </row>
    <row r="15">
      <c r="A15" t="inlineStr">
        <is>
          <t>2023-06-15</t>
        </is>
      </c>
      <c r="B15" t="inlineStr">
        <is>
          <t>Post-COVID / Ukraine-war baseline</t>
        </is>
      </c>
      <c r="C15" t="inlineStr">
        <is>
          <t>Spain</t>
        </is>
      </c>
      <c r="D15" t="inlineStr">
        <is>
          <t>civil ATM/infrastructure</t>
        </is>
      </c>
      <c r="E15" t="inlineStr">
        <is>
          <t>Palma de Mallorca</t>
        </is>
      </c>
      <c r="F15" t="inlineStr">
        <is>
          <t>ATC equipment issues</t>
        </is>
      </c>
      <c r="G15" t="inlineStr">
        <is>
          <t>hardware_failure</t>
        </is>
      </c>
      <c r="I15" t="inlineStr">
        <is>
          <t>ATC equipment issues on 15 and 30 June</t>
        </is>
      </c>
      <c r="J15" t="inlineStr">
        <is>
          <t>official reported</t>
        </is>
      </c>
      <c r="K15" t="inlineStr">
        <is>
          <t>information-system relevant</t>
        </is>
      </c>
      <c r="L15" t="inlineStr">
        <is>
          <t>none demonstrated</t>
        </is>
      </c>
      <c r="M15" t="inlineStr">
        <is>
          <t>no</t>
        </is>
      </c>
      <c r="N15" t="inlineStr">
        <is>
          <t>explained at system level</t>
        </is>
      </c>
      <c r="O15" t="inlineStr">
        <is>
          <t>1,596 ATFM delay min</t>
        </is>
      </c>
      <c r="P15" t="inlineStr">
        <is>
          <t>Airport ATC-equipment comparator</t>
        </is>
      </c>
      <c r="Q15" t="inlineStr">
        <is>
          <t>https://www.eurocontrol.int/sites/default/files/2023-07/eurocontrol-nm-monthly-network-operations-report-june-2023.pdf</t>
        </is>
      </c>
    </row>
    <row r="16">
      <c r="A16" t="inlineStr">
        <is>
          <t>2023-06-24</t>
        </is>
      </c>
      <c r="B16" t="inlineStr">
        <is>
          <t>Post-COVID / Ukraine-war baseline</t>
        </is>
      </c>
      <c r="C16" t="inlineStr">
        <is>
          <t>France</t>
        </is>
      </c>
      <c r="D16" t="inlineStr">
        <is>
          <t>civil ATM/infrastructure</t>
        </is>
      </c>
      <c r="E16" t="inlineStr">
        <is>
          <t>Reims ACC</t>
        </is>
      </c>
      <c r="F16" t="inlineStr">
        <is>
          <t>IT services failure</t>
        </is>
      </c>
      <c r="G16" t="inlineStr">
        <is>
          <t>network_connectivity</t>
        </is>
      </c>
      <c r="I16" t="inlineStr">
        <is>
          <t>IT services failure</t>
        </is>
      </c>
      <c r="J16" t="inlineStr">
        <is>
          <t>official reported</t>
        </is>
      </c>
      <c r="K16" t="inlineStr">
        <is>
          <t>confirmed causal</t>
        </is>
      </c>
      <c r="L16" t="inlineStr">
        <is>
          <t>none demonstrated</t>
        </is>
      </c>
      <c r="M16" t="inlineStr">
        <is>
          <t>no</t>
        </is>
      </c>
      <c r="N16" t="inlineStr">
        <is>
          <t>explained at system level</t>
        </is>
      </c>
      <c r="O16" t="inlineStr">
        <is>
          <t>3,631 ATFM delay min</t>
        </is>
      </c>
      <c r="P16" t="inlineStr">
        <is>
          <t>Explicit IT-services failure comparator</t>
        </is>
      </c>
      <c r="Q16" t="inlineStr">
        <is>
          <t>https://www.eurocontrol.int/sites/default/files/2023-07/eurocontrol-nm-monthly-network-operations-report-june-2023.pdf</t>
        </is>
      </c>
    </row>
    <row r="17">
      <c r="A17" t="inlineStr">
        <is>
          <t>2023-06-30</t>
        </is>
      </c>
      <c r="B17" t="inlineStr">
        <is>
          <t>Post-COVID / Ukraine-war baseline</t>
        </is>
      </c>
      <c r="C17" t="inlineStr">
        <is>
          <t>Spain</t>
        </is>
      </c>
      <c r="D17" t="inlineStr">
        <is>
          <t>civil ATM/infrastructure</t>
        </is>
      </c>
      <c r="E17" t="inlineStr">
        <is>
          <t>Barcelona ACC</t>
        </is>
      </c>
      <c r="F17" t="inlineStr">
        <is>
          <t>FDPS failure</t>
        </is>
      </c>
      <c r="G17" t="inlineStr">
        <is>
          <t>flight_data_processing</t>
        </is>
      </c>
      <c r="I17" t="inlineStr">
        <is>
          <t>Flight-data-processing-system failure</t>
        </is>
      </c>
      <c r="J17" t="inlineStr">
        <is>
          <t>official reported</t>
        </is>
      </c>
      <c r="K17" t="inlineStr">
        <is>
          <t>confirmed causal</t>
        </is>
      </c>
      <c r="L17" t="inlineStr">
        <is>
          <t>none demonstrated</t>
        </is>
      </c>
      <c r="M17" t="inlineStr">
        <is>
          <t>no</t>
        </is>
      </c>
      <c r="N17" t="inlineStr">
        <is>
          <t>explained at system level</t>
        </is>
      </c>
      <c r="O17" t="inlineStr">
        <is>
          <t>6,909 ATFM delay min</t>
        </is>
      </c>
      <c r="P17" t="inlineStr">
        <is>
          <t>Explicit flight-data-processing failure comparator</t>
        </is>
      </c>
      <c r="Q17" t="inlineStr">
        <is>
          <t>https://www.eurocontrol.int/sites/default/files/2023-07/eurocontrol-nm-monthly-network-operations-report-june-2023.pdf</t>
        </is>
      </c>
    </row>
    <row r="18">
      <c r="A18" t="inlineStr">
        <is>
          <t>2023-06-30</t>
        </is>
      </c>
      <c r="B18" t="inlineStr">
        <is>
          <t>Post-COVID / Ukraine-war baseline</t>
        </is>
      </c>
      <c r="C18" t="inlineStr">
        <is>
          <t>Spain</t>
        </is>
      </c>
      <c r="D18" t="inlineStr">
        <is>
          <t>civil ATM/infrastructure</t>
        </is>
      </c>
      <c r="E18" t="inlineStr">
        <is>
          <t>Ibiza airport</t>
        </is>
      </c>
      <c r="F18" t="inlineStr">
        <is>
          <t>ATC equipment failure</t>
        </is>
      </c>
      <c r="G18" t="inlineStr">
        <is>
          <t>hardware_failure</t>
        </is>
      </c>
      <c r="I18" t="inlineStr">
        <is>
          <t>ATC equipment failure</t>
        </is>
      </c>
      <c r="J18" t="inlineStr">
        <is>
          <t>official reported</t>
        </is>
      </c>
      <c r="K18" t="inlineStr">
        <is>
          <t>information-system relevant</t>
        </is>
      </c>
      <c r="L18" t="inlineStr">
        <is>
          <t>none demonstrated</t>
        </is>
      </c>
      <c r="M18" t="inlineStr">
        <is>
          <t>no</t>
        </is>
      </c>
      <c r="N18" t="inlineStr">
        <is>
          <t>explained at system level</t>
        </is>
      </c>
      <c r="O18" t="inlineStr">
        <is>
          <t>2,278 ATFM delay min</t>
        </is>
      </c>
      <c r="P18" t="inlineStr">
        <is>
          <t>Airport equipment-failure comparator</t>
        </is>
      </c>
      <c r="Q18" t="inlineStr">
        <is>
          <t>https://www.eurocontrol.int/sites/default/files/2023-07/eurocontrol-nm-monthly-network-operations-report-june-2023.pdf</t>
        </is>
      </c>
    </row>
    <row r="19">
      <c r="A19" t="inlineStr">
        <is>
          <t>2023-06-01</t>
        </is>
      </c>
      <c r="B19" t="inlineStr">
        <is>
          <t>Post-COVID / Ukraine-war baseline</t>
        </is>
      </c>
      <c r="C19" t="inlineStr">
        <is>
          <t>Greece</t>
        </is>
      </c>
      <c r="D19" t="inlineStr">
        <is>
          <t>civil ATM/infrastructure</t>
        </is>
      </c>
      <c r="E19" t="inlineStr">
        <is>
          <t>Athens airport</t>
        </is>
      </c>
      <c r="F19" t="inlineStr">
        <is>
          <t>Radar issues</t>
        </is>
      </c>
      <c r="G19" t="inlineStr">
        <is>
          <t>surveillance_failure</t>
        </is>
      </c>
      <c r="I19" t="inlineStr">
        <is>
          <t>Radar issues throughout June</t>
        </is>
      </c>
      <c r="J19" t="inlineStr">
        <is>
          <t>official reported</t>
        </is>
      </c>
      <c r="K19" t="inlineStr">
        <is>
          <t>information-system relevant</t>
        </is>
      </c>
      <c r="L19" t="inlineStr">
        <is>
          <t>none demonstrated</t>
        </is>
      </c>
      <c r="M19" t="inlineStr">
        <is>
          <t>no</t>
        </is>
      </c>
      <c r="N19" t="inlineStr">
        <is>
          <t>explained at system level</t>
        </is>
      </c>
      <c r="O19" t="inlineStr">
        <is>
          <t>56,728 ATFM delay min</t>
        </is>
      </c>
      <c r="P19" t="inlineStr">
        <is>
          <t>Large sustained surveillance degradation comparator</t>
        </is>
      </c>
      <c r="Q19" t="inlineStr">
        <is>
          <t>https://www.eurocontrol.int/sites/default/files/2023-07/eurocontrol-nm-monthly-network-operations-report-june-2023.pdf</t>
        </is>
      </c>
      <c r="R19" t="inlineStr">
        <is>
          <t>Month-level event</t>
        </is>
      </c>
    </row>
    <row r="20">
      <c r="A20" t="inlineStr">
        <is>
          <t>2024-08-01</t>
        </is>
      </c>
      <c r="B20" t="inlineStr">
        <is>
          <t>Post-COVID / Ukraine-war baseline</t>
        </is>
      </c>
      <c r="C20" t="inlineStr">
        <is>
          <t>France</t>
        </is>
      </c>
      <c r="D20" t="inlineStr">
        <is>
          <t>civil ATM/infrastructure</t>
        </is>
      </c>
      <c r="E20" t="inlineStr">
        <is>
          <t>Brest ACC</t>
        </is>
      </c>
      <c r="F20" t="inlineStr">
        <is>
          <t>ATC frequency issues</t>
        </is>
      </c>
      <c r="G20" t="inlineStr">
        <is>
          <t>comms_failure</t>
        </is>
      </c>
      <c r="I20" t="inlineStr">
        <is>
          <t>Frequency issues throughout August</t>
        </is>
      </c>
      <c r="J20" t="inlineStr">
        <is>
          <t>official reported</t>
        </is>
      </c>
      <c r="K20" t="inlineStr">
        <is>
          <t>information-system relevant</t>
        </is>
      </c>
      <c r="L20" t="inlineStr">
        <is>
          <t>none demonstrated</t>
        </is>
      </c>
      <c r="M20" t="inlineStr">
        <is>
          <t>no</t>
        </is>
      </c>
      <c r="N20" t="inlineStr">
        <is>
          <t>explained at system level</t>
        </is>
      </c>
      <c r="O20" t="inlineStr">
        <is>
          <t>25,499 ATFM delay min</t>
        </is>
      </c>
      <c r="P20" t="inlineStr">
        <is>
          <t>Large sustained communications comparator</t>
        </is>
      </c>
      <c r="Q20" t="inlineStr">
        <is>
          <t>https://www.eurocontrol.int/sites/default/files/2025-05/eurocontrol-annual-network-operations-report-2024.pdf</t>
        </is>
      </c>
    </row>
    <row r="21">
      <c r="A21" t="inlineStr">
        <is>
          <t>2024-08-10</t>
        </is>
      </c>
      <c r="B21" t="inlineStr">
        <is>
          <t>Post-COVID / Ukraine-war baseline</t>
        </is>
      </c>
      <c r="C21" t="inlineStr">
        <is>
          <t>France/Germany/Netherlands/Austria</t>
        </is>
      </c>
      <c r="D21" t="inlineStr">
        <is>
          <t>civil ATM/infrastructure</t>
        </is>
      </c>
      <c r="E21" t="inlineStr">
        <is>
          <t>Reims/Bordeaux/Maastricht/Vienna</t>
        </is>
      </c>
      <c r="F21" t="inlineStr">
        <is>
          <t>CPDLC issue</t>
        </is>
      </c>
      <c r="G21" t="inlineStr">
        <is>
          <t>datalink_cpdlc</t>
        </is>
      </c>
      <c r="I21" t="inlineStr">
        <is>
          <t>CPDLC issue limited capacity in several ACCs</t>
        </is>
      </c>
      <c r="J21" t="inlineStr">
        <is>
          <t>official reported</t>
        </is>
      </c>
      <c r="K21" t="inlineStr">
        <is>
          <t>confirmed causal</t>
        </is>
      </c>
      <c r="L21" t="inlineStr">
        <is>
          <t>none demonstrated</t>
        </is>
      </c>
      <c r="M21" t="inlineStr">
        <is>
          <t>no</t>
        </is>
      </c>
      <c r="N21" t="inlineStr">
        <is>
          <t>explained at system level</t>
        </is>
      </c>
      <c r="O21" t="inlineStr">
        <is>
          <t>3,813 ATFM delay min across listed centres</t>
        </is>
      </c>
      <c r="P21" t="inlineStr">
        <is>
          <t>Networked datalink failure across multiple ACCs</t>
        </is>
      </c>
      <c r="Q21" t="inlineStr">
        <is>
          <t>https://www.eurocontrol.int/sites/default/files/2025-05/eurocontrol-annual-network-operations-report-2024.pdf</t>
        </is>
      </c>
      <c r="R21" t="inlineStr">
        <is>
          <t>Sum of Reims 1,727; Bordeaux 409; Maastricht 1,108; Vienna 569</t>
        </is>
      </c>
    </row>
    <row r="22">
      <c r="A22" t="inlineStr">
        <is>
          <t>2024-08-16</t>
        </is>
      </c>
      <c r="B22" t="inlineStr">
        <is>
          <t>Post-COVID / Ukraine-war baseline</t>
        </is>
      </c>
      <c r="C22" t="inlineStr">
        <is>
          <t>Norway</t>
        </is>
      </c>
      <c r="D22" t="inlineStr">
        <is>
          <t>civil ATM/infrastructure</t>
        </is>
      </c>
      <c r="E22" t="inlineStr">
        <is>
          <t>Bodø</t>
        </is>
      </c>
      <c r="F22" t="inlineStr">
        <is>
          <t>Power failure</t>
        </is>
      </c>
      <c r="G22" t="inlineStr">
        <is>
          <t>power_failure</t>
        </is>
      </c>
      <c r="I22" t="inlineStr">
        <is>
          <t>Power failure 16–17 August</t>
        </is>
      </c>
      <c r="J22" t="inlineStr">
        <is>
          <t>official reported</t>
        </is>
      </c>
      <c r="K22" t="inlineStr">
        <is>
          <t>not applicable</t>
        </is>
      </c>
      <c r="L22" t="inlineStr">
        <is>
          <t>none demonstrated</t>
        </is>
      </c>
      <c r="M22" t="inlineStr">
        <is>
          <t>no</t>
        </is>
      </c>
      <c r="N22" t="inlineStr">
        <is>
          <t>explained at system level</t>
        </is>
      </c>
      <c r="O22" t="inlineStr">
        <is>
          <t>6,097 ATFM delay min</t>
        </is>
      </c>
      <c r="P22" t="inlineStr">
        <is>
          <t>Physical infrastructure comparator</t>
        </is>
      </c>
      <c r="Q22" t="inlineStr">
        <is>
          <t>https://www.eurocontrol.int/sites/default/files/2025-05/eurocontrol-annual-network-operations-report-2024.pdf</t>
        </is>
      </c>
    </row>
    <row r="23">
      <c r="A23" t="inlineStr">
        <is>
          <t>2024-09-01</t>
        </is>
      </c>
      <c r="B23" t="inlineStr">
        <is>
          <t>Post-COVID / Ukraine-war baseline</t>
        </is>
      </c>
      <c r="C23" t="inlineStr">
        <is>
          <t>France</t>
        </is>
      </c>
      <c r="D23" t="inlineStr">
        <is>
          <t>civil ATM/infrastructure</t>
        </is>
      </c>
      <c r="E23" t="inlineStr">
        <is>
          <t>Reims ACC</t>
        </is>
      </c>
      <c r="F23" t="inlineStr">
        <is>
          <t>Data link issue</t>
        </is>
      </c>
      <c r="G23" t="inlineStr">
        <is>
          <t>datalink_cpdlc</t>
        </is>
      </c>
      <c r="I23" t="inlineStr">
        <is>
          <t>Data link issue</t>
        </is>
      </c>
      <c r="J23" t="inlineStr">
        <is>
          <t>official reported</t>
        </is>
      </c>
      <c r="K23" t="inlineStr">
        <is>
          <t>confirmed causal</t>
        </is>
      </c>
      <c r="L23" t="inlineStr">
        <is>
          <t>none demonstrated</t>
        </is>
      </c>
      <c r="M23" t="inlineStr">
        <is>
          <t>no</t>
        </is>
      </c>
      <c r="N23" t="inlineStr">
        <is>
          <t>explained at system level</t>
        </is>
      </c>
      <c r="O23" t="inlineStr">
        <is>
          <t>4,870 ATFM delay min</t>
        </is>
      </c>
      <c r="P23" t="inlineStr">
        <is>
          <t>Datalink comparator</t>
        </is>
      </c>
      <c r="Q23" t="inlineStr">
        <is>
          <t>https://www.eurocontrol.int/sites/default/files/2025-05/eurocontrol-annual-network-operations-report-2024.pdf</t>
        </is>
      </c>
    </row>
    <row r="24">
      <c r="A24" t="inlineStr">
        <is>
          <t>2024-09-07</t>
        </is>
      </c>
      <c r="B24" t="inlineStr">
        <is>
          <t>Post-COVID / Ukraine-war baseline</t>
        </is>
      </c>
      <c r="C24" t="inlineStr">
        <is>
          <t>North Atlantic/UK-Ireland service</t>
        </is>
      </c>
      <c r="D24" t="inlineStr">
        <is>
          <t>civil ATM/infrastructure</t>
        </is>
      </c>
      <c r="E24" t="inlineStr">
        <is>
          <t>Shanwick OACC</t>
        </is>
      </c>
      <c r="F24" t="inlineStr">
        <is>
          <t>Oceanic Centre technical issue</t>
        </is>
      </c>
      <c r="G24" t="inlineStr">
        <is>
          <t>hardware_failure</t>
        </is>
      </c>
      <c r="I24" t="inlineStr">
        <is>
          <t>Technical issue with Oceanic Centre systems</t>
        </is>
      </c>
      <c r="J24" t="inlineStr">
        <is>
          <t>official reported</t>
        </is>
      </c>
      <c r="K24" t="inlineStr">
        <is>
          <t>information-system relevant</t>
        </is>
      </c>
      <c r="L24" t="inlineStr">
        <is>
          <t>none demonstrated</t>
        </is>
      </c>
      <c r="M24" t="inlineStr">
        <is>
          <t>no</t>
        </is>
      </c>
      <c r="N24" t="inlineStr">
        <is>
          <t>explained at system level</t>
        </is>
      </c>
      <c r="O24" t="inlineStr">
        <is>
          <t>1,321 ATFM delay min</t>
        </is>
      </c>
      <c r="P24" t="inlineStr">
        <is>
          <t>Oceanic-control-system comparator</t>
        </is>
      </c>
      <c r="Q24" t="inlineStr">
        <is>
          <t>https://www.eurocontrol.int/sites/default/files/2025-05/eurocontrol-annual-network-operations-report-2024.pdf</t>
        </is>
      </c>
    </row>
    <row r="25">
      <c r="A25" t="inlineStr">
        <is>
          <t>2024-09-23</t>
        </is>
      </c>
      <c r="B25" t="inlineStr">
        <is>
          <t>Post-COVID / Ukraine-war baseline</t>
        </is>
      </c>
      <c r="C25" t="inlineStr">
        <is>
          <t>Croatia</t>
        </is>
      </c>
      <c r="D25" t="inlineStr">
        <is>
          <t>civil ATM/infrastructure</t>
        </is>
      </c>
      <c r="E25" t="inlineStr">
        <is>
          <t>Zagreb ACC</t>
        </is>
      </c>
      <c r="F25" t="inlineStr">
        <is>
          <t>Communication system failure</t>
        </is>
      </c>
      <c r="G25" t="inlineStr">
        <is>
          <t>comms_failure</t>
        </is>
      </c>
      <c r="I25" t="inlineStr">
        <is>
          <t>Communication system failure</t>
        </is>
      </c>
      <c r="J25" t="inlineStr">
        <is>
          <t>official reported</t>
        </is>
      </c>
      <c r="K25" t="inlineStr">
        <is>
          <t>confirmed causal</t>
        </is>
      </c>
      <c r="L25" t="inlineStr">
        <is>
          <t>none demonstrated</t>
        </is>
      </c>
      <c r="M25" t="inlineStr">
        <is>
          <t>no</t>
        </is>
      </c>
      <c r="N25" t="inlineStr">
        <is>
          <t>explained at system level</t>
        </is>
      </c>
      <c r="O25" t="inlineStr">
        <is>
          <t>1,113 ATFM delay min</t>
        </is>
      </c>
      <c r="P25" t="inlineStr">
        <is>
          <t>Explicit communications-system failure</t>
        </is>
      </c>
      <c r="Q25" t="inlineStr">
        <is>
          <t>https://www.eurocontrol.int/sites/default/files/2025-05/eurocontrol-annual-network-operations-report-2024.pdf</t>
        </is>
      </c>
    </row>
    <row r="26">
      <c r="A26" t="inlineStr">
        <is>
          <t>2024-09-24</t>
        </is>
      </c>
      <c r="B26" t="inlineStr">
        <is>
          <t>Post-COVID / Ukraine-war baseline</t>
        </is>
      </c>
      <c r="C26" t="inlineStr">
        <is>
          <t>France</t>
        </is>
      </c>
      <c r="D26" t="inlineStr">
        <is>
          <t>civil ATM/infrastructure</t>
        </is>
      </c>
      <c r="E26" t="inlineStr">
        <is>
          <t>Marseille ACC</t>
        </is>
      </c>
      <c r="F26" t="inlineStr">
        <is>
          <t>Communication system failure</t>
        </is>
      </c>
      <c r="G26" t="inlineStr">
        <is>
          <t>comms_failure</t>
        </is>
      </c>
      <c r="I26" t="inlineStr">
        <is>
          <t>Failure caused precautionary measures in neighbouring ACCs</t>
        </is>
      </c>
      <c r="J26" t="inlineStr">
        <is>
          <t>official reported</t>
        </is>
      </c>
      <c r="K26" t="inlineStr">
        <is>
          <t>confirmed causal</t>
        </is>
      </c>
      <c r="L26" t="inlineStr">
        <is>
          <t>none demonstrated</t>
        </is>
      </c>
      <c r="M26" t="inlineStr">
        <is>
          <t>no</t>
        </is>
      </c>
      <c r="N26" t="inlineStr">
        <is>
          <t>explained at system level</t>
        </is>
      </c>
      <c r="O26" t="inlineStr">
        <is>
          <t>6,888 min Marseille + 4,245 neighbouring delay</t>
        </is>
      </c>
      <c r="P26" t="inlineStr">
        <is>
          <t>Large communications failure with cross-border propagation</t>
        </is>
      </c>
      <c r="Q26" t="inlineStr">
        <is>
          <t>https://www.eurocontrol.int/sites/default/files/2025-05/eurocontrol-annual-network-operations-report-2024.pdf</t>
        </is>
      </c>
      <c r="R26" t="inlineStr">
        <is>
          <t>Neighbouring: Alger 1,492; Barcelona 1,345; Madrid 1,408</t>
        </is>
      </c>
    </row>
    <row r="27">
      <c r="A27" t="inlineStr">
        <is>
          <t>2024-10-04</t>
        </is>
      </c>
      <c r="B27" t="inlineStr">
        <is>
          <t>Post-COVID / Ukraine-war baseline</t>
        </is>
      </c>
      <c r="C27" t="inlineStr">
        <is>
          <t>Germany</t>
        </is>
      </c>
      <c r="D27" t="inlineStr">
        <is>
          <t>civil ATM/infrastructure</t>
        </is>
      </c>
      <c r="E27" t="inlineStr">
        <is>
          <t>Karlsruhe UAC / Munich / Bremen</t>
        </is>
      </c>
      <c r="F27" t="inlineStr">
        <is>
          <t>DFS control-centre technical issue</t>
        </is>
      </c>
      <c r="G27" t="inlineStr">
        <is>
          <t>hardware_failure</t>
        </is>
      </c>
      <c r="I27" t="inlineStr">
        <is>
          <t>Technical issue led to capacity reduction across several German centres</t>
        </is>
      </c>
      <c r="J27" t="inlineStr">
        <is>
          <t>official reported</t>
        </is>
      </c>
      <c r="K27" t="inlineStr">
        <is>
          <t>information-system relevant</t>
        </is>
      </c>
      <c r="L27" t="inlineStr">
        <is>
          <t>none demonstrated</t>
        </is>
      </c>
      <c r="M27" t="inlineStr">
        <is>
          <t>no</t>
        </is>
      </c>
      <c r="N27" t="inlineStr">
        <is>
          <t>explained at system level</t>
        </is>
      </c>
      <c r="O27" t="inlineStr">
        <is>
          <t>42,161 ATFM delay min</t>
        </is>
      </c>
      <c r="P27" t="inlineStr">
        <is>
          <t>Very large multi-centre technical-failure comparator</t>
        </is>
      </c>
      <c r="Q27" t="inlineStr">
        <is>
          <t>https://www.eurocontrol.int/sites/default/files/2025-05/eurocontrol-annual-network-operations-report-2024.pdf</t>
        </is>
      </c>
    </row>
    <row r="28">
      <c r="A28" t="inlineStr">
        <is>
          <t>2024-10-04</t>
        </is>
      </c>
      <c r="B28" t="inlineStr">
        <is>
          <t>Post-COVID / Ukraine-war baseline</t>
        </is>
      </c>
      <c r="C28" t="inlineStr">
        <is>
          <t>Germany</t>
        </is>
      </c>
      <c r="D28" t="inlineStr">
        <is>
          <t>civil ATM/infrastructure</t>
        </is>
      </c>
      <c r="E28" t="inlineStr">
        <is>
          <t>Bremen</t>
        </is>
      </c>
      <c r="F28" t="inlineStr">
        <is>
          <t>Communication system issue</t>
        </is>
      </c>
      <c r="G28" t="inlineStr">
        <is>
          <t>comms_failure</t>
        </is>
      </c>
      <c r="I28" t="inlineStr">
        <is>
          <t>Issues on 4 and 15 October</t>
        </is>
      </c>
      <c r="J28" t="inlineStr">
        <is>
          <t>official reported</t>
        </is>
      </c>
      <c r="K28" t="inlineStr">
        <is>
          <t>information-system relevant</t>
        </is>
      </c>
      <c r="L28" t="inlineStr">
        <is>
          <t>none demonstrated</t>
        </is>
      </c>
      <c r="M28" t="inlineStr">
        <is>
          <t>no</t>
        </is>
      </c>
      <c r="N28" t="inlineStr">
        <is>
          <t>explained at system level</t>
        </is>
      </c>
      <c r="O28" t="inlineStr">
        <is>
          <t>2,266 ATFM delay min</t>
        </is>
      </c>
      <c r="P28" t="inlineStr">
        <is>
          <t>Communications comparator</t>
        </is>
      </c>
      <c r="Q28" t="inlineStr">
        <is>
          <t>https://www.eurocontrol.int/sites/default/files/2025-05/eurocontrol-annual-network-operations-report-2024.pdf</t>
        </is>
      </c>
    </row>
    <row r="29">
      <c r="A29" t="inlineStr">
        <is>
          <t>2024-10-20</t>
        </is>
      </c>
      <c r="B29" t="inlineStr">
        <is>
          <t>Post-COVID / Ukraine-war baseline</t>
        </is>
      </c>
      <c r="C29" t="inlineStr">
        <is>
          <t>Italy</t>
        </is>
      </c>
      <c r="D29" t="inlineStr">
        <is>
          <t>civil ATM/infrastructure</t>
        </is>
      </c>
      <c r="E29" t="inlineStr">
        <is>
          <t>Milano</t>
        </is>
      </c>
      <c r="F29" t="inlineStr">
        <is>
          <t>FDPS failure</t>
        </is>
      </c>
      <c r="G29" t="inlineStr">
        <is>
          <t>flight_data_processing</t>
        </is>
      </c>
      <c r="I29" t="inlineStr">
        <is>
          <t>Flight-data-processing-system failure</t>
        </is>
      </c>
      <c r="J29" t="inlineStr">
        <is>
          <t>official reported</t>
        </is>
      </c>
      <c r="K29" t="inlineStr">
        <is>
          <t>confirmed causal</t>
        </is>
      </c>
      <c r="L29" t="inlineStr">
        <is>
          <t>none demonstrated</t>
        </is>
      </c>
      <c r="M29" t="inlineStr">
        <is>
          <t>no</t>
        </is>
      </c>
      <c r="N29" t="inlineStr">
        <is>
          <t>explained at system level</t>
        </is>
      </c>
      <c r="O29" t="inlineStr">
        <is>
          <t>9,772 ATFM delay min</t>
        </is>
      </c>
      <c r="P29" t="inlineStr">
        <is>
          <t>Explicit FDPS comparator</t>
        </is>
      </c>
      <c r="Q29" t="inlineStr">
        <is>
          <t>https://www.eurocontrol.int/sites/default/files/2025-05/eurocontrol-annual-network-operations-report-2024.pdf</t>
        </is>
      </c>
    </row>
    <row r="30">
      <c r="A30" t="inlineStr">
        <is>
          <t>2024-11-22</t>
        </is>
      </c>
      <c r="B30" t="inlineStr">
        <is>
          <t>Post-COVID / Ukraine-war baseline</t>
        </is>
      </c>
      <c r="C30" t="inlineStr">
        <is>
          <t>Germany</t>
        </is>
      </c>
      <c r="D30" t="inlineStr">
        <is>
          <t>civil ATM/infrastructure</t>
        </is>
      </c>
      <c r="E30" t="inlineStr">
        <is>
          <t>Karlsruhe UAC</t>
        </is>
      </c>
      <c r="F30" t="inlineStr">
        <is>
          <t>FDPS instability</t>
        </is>
      </c>
      <c r="G30" t="inlineStr">
        <is>
          <t>flight_data_processing</t>
        </is>
      </c>
      <c r="I30" t="inlineStr">
        <is>
          <t>Flight-data-processing-system instability</t>
        </is>
      </c>
      <c r="J30" t="inlineStr">
        <is>
          <t>official reported</t>
        </is>
      </c>
      <c r="K30" t="inlineStr">
        <is>
          <t>confirmed causal</t>
        </is>
      </c>
      <c r="L30" t="inlineStr">
        <is>
          <t>none demonstrated</t>
        </is>
      </c>
      <c r="M30" t="inlineStr">
        <is>
          <t>no</t>
        </is>
      </c>
      <c r="N30" t="inlineStr">
        <is>
          <t>explained at system level</t>
        </is>
      </c>
      <c r="O30" t="inlineStr">
        <is>
          <t>4,152 ATFM delay min</t>
        </is>
      </c>
      <c r="P30" t="inlineStr">
        <is>
          <t>Digital instability rather than complete outage</t>
        </is>
      </c>
      <c r="Q30" t="inlineStr">
        <is>
          <t>https://www.eurocontrol.int/sites/default/files/2025-05/eurocontrol-annual-network-operations-report-2024.pdf</t>
        </is>
      </c>
    </row>
    <row r="31">
      <c r="A31" t="inlineStr">
        <is>
          <t>2024-11-23</t>
        </is>
      </c>
      <c r="B31" t="inlineStr">
        <is>
          <t>Post-COVID / Ukraine-war baseline</t>
        </is>
      </c>
      <c r="C31" t="inlineStr">
        <is>
          <t>Netherlands/France</t>
        </is>
      </c>
      <c r="D31" t="inlineStr">
        <is>
          <t>civil ATM/infrastructure</t>
        </is>
      </c>
      <c r="E31" t="inlineStr">
        <is>
          <t>Maastricht UAC / Bordeaux</t>
        </is>
      </c>
      <c r="F31" t="inlineStr">
        <is>
          <t>Datalink system issues</t>
        </is>
      </c>
      <c r="G31" t="inlineStr">
        <is>
          <t>datalink_cpdlc</t>
        </is>
      </c>
      <c r="I31" t="inlineStr">
        <is>
          <t>Datalink system issues</t>
        </is>
      </c>
      <c r="J31" t="inlineStr">
        <is>
          <t>official reported</t>
        </is>
      </c>
      <c r="K31" t="inlineStr">
        <is>
          <t>confirmed causal</t>
        </is>
      </c>
      <c r="L31" t="inlineStr">
        <is>
          <t>none demonstrated</t>
        </is>
      </c>
      <c r="M31" t="inlineStr">
        <is>
          <t>no</t>
        </is>
      </c>
      <c r="N31" t="inlineStr">
        <is>
          <t>explained at system level</t>
        </is>
      </c>
      <c r="O31" t="inlineStr">
        <is>
          <t>1,523 ATFM delay min</t>
        </is>
      </c>
      <c r="P31" t="inlineStr">
        <is>
          <t>Networked datalink comparator</t>
        </is>
      </c>
      <c r="Q31" t="inlineStr">
        <is>
          <t>https://www.eurocontrol.int/sites/default/files/2025-05/eurocontrol-annual-network-operations-report-2024.pdf</t>
        </is>
      </c>
    </row>
    <row r="32">
      <c r="A32" t="inlineStr">
        <is>
          <t>2024-12-01</t>
        </is>
      </c>
      <c r="B32" t="inlineStr">
        <is>
          <t>Post-COVID / Ukraine-war baseline</t>
        </is>
      </c>
      <c r="C32" t="inlineStr">
        <is>
          <t>Spain</t>
        </is>
      </c>
      <c r="D32" t="inlineStr">
        <is>
          <t>civil ATM/infrastructure</t>
        </is>
      </c>
      <c r="E32" t="inlineStr">
        <is>
          <t>Barcelona / Valencia TMA</t>
        </is>
      </c>
      <c r="F32" t="inlineStr">
        <is>
          <t>Local radar issues</t>
        </is>
      </c>
      <c r="G32" t="inlineStr">
        <is>
          <t>surveillance_failure</t>
        </is>
      </c>
      <c r="I32" t="inlineStr">
        <is>
          <t>Local radar issues throughout December</t>
        </is>
      </c>
      <c r="J32" t="inlineStr">
        <is>
          <t>official reported</t>
        </is>
      </c>
      <c r="K32" t="inlineStr">
        <is>
          <t>information-system relevant</t>
        </is>
      </c>
      <c r="L32" t="inlineStr">
        <is>
          <t>none demonstrated</t>
        </is>
      </c>
      <c r="M32" t="inlineStr">
        <is>
          <t>no</t>
        </is>
      </c>
      <c r="N32" t="inlineStr">
        <is>
          <t>explained at system level</t>
        </is>
      </c>
      <c r="O32" t="inlineStr">
        <is>
          <t>11,537 ATFM delay min</t>
        </is>
      </c>
      <c r="P32" t="inlineStr">
        <is>
          <t>Sustained radar-degradation comparator</t>
        </is>
      </c>
      <c r="Q32" t="inlineStr">
        <is>
          <t>https://www.eurocontrol.int/sites/default/files/2025-05/eurocontrol-annual-network-operations-report-2024.pdf</t>
        </is>
      </c>
      <c r="R32" t="inlineStr">
        <is>
          <t>Month-level event</t>
        </is>
      </c>
    </row>
    <row r="33">
      <c r="A33" t="inlineStr">
        <is>
          <t>2025-06-01</t>
        </is>
      </c>
      <c r="B33" t="inlineStr">
        <is>
          <t>Post-COVID / Ukraine-war baseline</t>
        </is>
      </c>
      <c r="C33" t="inlineStr">
        <is>
          <t>Europe</t>
        </is>
      </c>
      <c r="D33" t="inlineStr">
        <is>
          <t>civil ATM/infrastructure</t>
        </is>
      </c>
      <c r="E33" t="inlineStr">
        <is>
          <t>European datalink network</t>
        </is>
      </c>
      <c r="F33" t="inlineStr">
        <is>
          <t>CPDLC service degradation</t>
        </is>
      </c>
      <c r="G33" t="inlineStr">
        <is>
          <t>datalink_cpdlc</t>
        </is>
      </c>
      <c r="I33" t="inlineStr">
        <is>
          <t>About 66 hours of flight delay attributed to CPDLC issues in summer comparison</t>
        </is>
      </c>
      <c r="J33" t="inlineStr">
        <is>
          <t>official reported</t>
        </is>
      </c>
      <c r="K33" t="inlineStr">
        <is>
          <t>confirmed causal</t>
        </is>
      </c>
      <c r="L33" t="inlineStr">
        <is>
          <t>none demonstrated</t>
        </is>
      </c>
      <c r="M33" t="inlineStr">
        <is>
          <t>no</t>
        </is>
      </c>
      <c r="N33" t="inlineStr">
        <is>
          <t>explained at system level</t>
        </is>
      </c>
      <c r="O33" t="inlineStr">
        <is>
          <t>~66 delay hours vs ~500 hours same period 2024</t>
        </is>
      </c>
      <c r="P33" t="inlineStr">
        <is>
          <t>Quantifies improvement after 2024 datalink resilience work</t>
        </is>
      </c>
      <c r="Q33" t="inlineStr">
        <is>
          <t>https://www.eurocontrol.int/sites/default/files/2025-08/eurocontrol-datalink-summer-performance-report-2025.pdf</t>
        </is>
      </c>
      <c r="R33" t="inlineStr">
        <is>
          <t>Period-level metric rather than one outage</t>
        </is>
      </c>
    </row>
    <row r="34">
      <c r="A34" t="inlineStr">
        <is>
          <t>2025-08-01</t>
        </is>
      </c>
      <c r="B34" t="inlineStr">
        <is>
          <t>Post-COVID / Ukraine-war baseline</t>
        </is>
      </c>
      <c r="C34" t="inlineStr">
        <is>
          <t>Europe</t>
        </is>
      </c>
      <c r="D34" t="inlineStr">
        <is>
          <t>civil ATM/infrastructure</t>
        </is>
      </c>
      <c r="E34" t="inlineStr">
        <is>
          <t>European datalink network</t>
        </is>
      </c>
      <c r="F34" t="inlineStr">
        <is>
          <t>CPDLC performance</t>
        </is>
      </c>
      <c r="G34" t="inlineStr">
        <is>
          <t>datalink_cpdlc</t>
        </is>
      </c>
      <c r="I34" t="inlineStr">
        <is>
          <t>57.6 delay hours vs 195.9 hours Aug 2024 despite &gt;20% CPDLC traffic growth</t>
        </is>
      </c>
      <c r="J34" t="inlineStr">
        <is>
          <t>official reported</t>
        </is>
      </c>
      <c r="K34" t="inlineStr">
        <is>
          <t>confirmed causal</t>
        </is>
      </c>
      <c r="L34" t="inlineStr">
        <is>
          <t>none demonstrated</t>
        </is>
      </c>
      <c r="M34" t="inlineStr">
        <is>
          <t>no</t>
        </is>
      </c>
      <c r="N34" t="inlineStr">
        <is>
          <t>explained at system level</t>
        </is>
      </c>
      <c r="O34" t="inlineStr">
        <is>
          <t>57.6 delay hours</t>
        </is>
      </c>
      <c r="P34" t="inlineStr">
        <is>
          <t>Strong exposure-aware resilience comparator</t>
        </is>
      </c>
      <c r="Q34" t="inlineStr">
        <is>
          <t>https://www.eurocontrol.int/publication/datalink-summer-performance-report-august-2025</t>
        </is>
      </c>
      <c r="R34" t="inlineStr">
        <is>
          <t>Provider Abort rate 8.6 per 100 hours remained stable</t>
        </is>
      </c>
    </row>
  </sheetData>
  <dataValidations count="3">
    <dataValidation sqref="J2:J500" showDropDown="0" showInputMessage="0" showErrorMessage="0" allowBlank="0" type="list">
      <formula1>"confirmed,official reported,official preliminary,credible reported,suspected,unknown,official assessment,confirmed external technical event"</formula1>
    </dataValidation>
    <dataValidation sqref="K2:K500" showDropDown="0" showInputMessage="0" showErrorMessage="0" allowBlank="0" type="list">
      <formula1>"confirmed causal,confirmed contributory,confirmed environmental,information-system relevant,possible,specifically ruled out,no evidence either way,not applicable,unknown"</formula1>
    </dataValidation>
    <dataValidation sqref="M2:M500" showDropDown="0" showInputMessage="0" showErrorMessage="0" allowBlank="0" type="list">
      <formula1>"no,yes - hostile,yes - friendly,not an accident,unknown"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style="22" min="1" max="1"/>
    <col width="78" customWidth="1" style="22" min="2" max="2"/>
  </cols>
  <sheetData>
    <row r="1">
      <c r="A1" s="61" t="inlineStr">
        <is>
          <t>Current causal coding — working snapshot</t>
        </is>
      </c>
      <c r="B1" s="1" t="n"/>
    </row>
    <row r="2">
      <c r="A2" s="30" t="inlineStr">
        <is>
          <t>Metric</t>
        </is>
      </c>
      <c r="B2" s="30" t="inlineStr">
        <is>
          <t>Current ledger count</t>
        </is>
      </c>
    </row>
    <row r="3">
      <c r="A3" s="11" t="inlineStr">
        <is>
          <t>Rows in causal ledger</t>
        </is>
      </c>
      <c r="B3" s="11">
        <f>COUNTA(Causal_Event_Ledger!A2:A500)</f>
        <v/>
      </c>
    </row>
    <row r="4">
      <c r="A4" s="11" t="inlineStr">
        <is>
          <t>Rows with confirmed environmental GNSS/EW</t>
        </is>
      </c>
      <c r="B4" s="11">
        <f>COUNTIF(Causal_Event_Ledger!K2:K500,"confirmed environmental")</f>
        <v/>
      </c>
    </row>
    <row r="5">
      <c r="A5" s="11" t="inlineStr">
        <is>
          <t>Rows information-system relevant</t>
        </is>
      </c>
      <c r="B5" s="11">
        <f>COUNTIF(Causal_Event_Ledger!K2:K500,"information-system relevant")</f>
        <v/>
      </c>
    </row>
    <row r="6">
      <c r="A6" s="11" t="inlineStr">
        <is>
          <t>Rows confirmed causal digital</t>
        </is>
      </c>
      <c r="B6" s="11">
        <f>COUNTIF(Causal_Event_Ledger!K2:K500,"confirmed causal")</f>
        <v/>
      </c>
    </row>
    <row r="7">
      <c r="A7" s="11" t="inlineStr">
        <is>
          <t>Unknown / no evidence rows</t>
        </is>
      </c>
      <c r="B7" s="11">
        <f>COUNTIF(Causal_Event_Ledger!K2:K500,"unknown")+COUNTIF(Causal_Event_Ledger!K2:K500,"no evidence either way")</f>
        <v/>
      </c>
    </row>
    <row r="8">
      <c r="A8" s="11" t="inlineStr">
        <is>
          <t>Important</t>
        </is>
      </c>
      <c r="B8" s="11" t="inlineStr">
        <is>
          <t>This sheet is descriptive of the backfilled ledger, not a claim about population rates until all years are populated.</t>
        </is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0" customWidth="1" style="22" min="1" max="1"/>
    <col width="20" customWidth="1" style="22" min="2" max="2"/>
    <col width="20" customWidth="1" style="22" min="3" max="3"/>
    <col width="20" customWidth="1" style="22" min="4" max="4"/>
    <col width="20" customWidth="1" style="22" min="5" max="5"/>
    <col width="20" customWidth="1" style="22" min="6" max="6"/>
    <col width="20" customWidth="1" style="22" min="7" max="7"/>
    <col width="20" customWidth="1" style="22" min="8" max="8"/>
    <col width="20" customWidth="1" style="22" min="9" max="9"/>
    <col width="20" customWidth="1" style="22" min="10" max="10"/>
    <col width="20" customWidth="1" style="22" min="11" max="11"/>
    <col width="20" customWidth="1" style="22" min="12" max="12"/>
    <col width="20" customWidth="1" style="22" min="13" max="13"/>
  </cols>
  <sheetData>
    <row r="1">
      <c r="A1" s="33" t="inlineStr">
        <is>
          <t>Year</t>
        </is>
      </c>
      <c r="B1" s="33" t="inlineStr">
        <is>
          <t>comms_failure</t>
        </is>
      </c>
      <c r="C1" s="33" t="inlineStr">
        <is>
          <t>surveillance_failure</t>
        </is>
      </c>
      <c r="D1" s="33" t="inlineStr">
        <is>
          <t>flight_data_processing</t>
        </is>
      </c>
      <c r="E1" s="33" t="inlineStr">
        <is>
          <t>datalink_cpdlc</t>
        </is>
      </c>
      <c r="F1" s="33" t="inlineStr">
        <is>
          <t>network_connectivity</t>
        </is>
      </c>
      <c r="G1" s="33" t="inlineStr">
        <is>
          <t>power_failure</t>
        </is>
      </c>
      <c r="H1" s="33" t="inlineStr">
        <is>
          <t>hardware_failure</t>
        </is>
      </c>
      <c r="I1" s="33" t="inlineStr">
        <is>
          <t>software_failure</t>
        </is>
      </c>
      <c r="J1" s="33" t="inlineStr">
        <is>
          <t>gnss_jamming</t>
        </is>
      </c>
      <c r="K1" s="33" t="inlineStr">
        <is>
          <t>gnss_spoofing</t>
        </is>
      </c>
      <c r="L1" s="33" t="inlineStr">
        <is>
          <t>unknown_investigation</t>
        </is>
      </c>
      <c r="M1" s="33" t="inlineStr">
        <is>
          <t>Ledger rows</t>
        </is>
      </c>
    </row>
    <row r="2">
      <c r="A2" s="11" t="n">
        <v>2016</v>
      </c>
      <c r="B2" s="11">
        <f>COUNTIFS(Causal_Event_Ledger!$A$2:$A$500,"&gt;="&amp;"2016-01-01",Causal_Event_Ledger!$A$2:$A$500,"&lt;="&amp;"2016-12-31",Causal_Event_Ledger!$G$2:$G$500,"comms_failure")+COUNTIFS(Causal_Event_Ledger!$A$2:$A$500,"&gt;="&amp;"2016-01-01",Causal_Event_Ledger!$A$2:$A$500,"&lt;="&amp;"2016-12-31",Causal_Event_Ledger!$H$2:$H$500,"comms_failure")</f>
        <v/>
      </c>
      <c r="C2" s="11">
        <f>COUNTIFS(Causal_Event_Ledger!$A$2:$A$500,"&gt;="&amp;"2016-01-01",Causal_Event_Ledger!$A$2:$A$500,"&lt;="&amp;"2016-12-31",Causal_Event_Ledger!$G$2:$G$500,"surveillance_failure")+COUNTIFS(Causal_Event_Ledger!$A$2:$A$500,"&gt;="&amp;"2016-01-01",Causal_Event_Ledger!$A$2:$A$500,"&lt;="&amp;"2016-12-31",Causal_Event_Ledger!$H$2:$H$500,"surveillance_failure")</f>
        <v/>
      </c>
      <c r="D2" s="11">
        <f>COUNTIFS(Causal_Event_Ledger!$A$2:$A$500,"&gt;="&amp;"2016-01-01",Causal_Event_Ledger!$A$2:$A$500,"&lt;="&amp;"2016-12-31",Causal_Event_Ledger!$G$2:$G$500,"flight_data_processing")+COUNTIFS(Causal_Event_Ledger!$A$2:$A$500,"&gt;="&amp;"2016-01-01",Causal_Event_Ledger!$A$2:$A$500,"&lt;="&amp;"2016-12-31",Causal_Event_Ledger!$H$2:$H$500,"flight_data_processing")</f>
        <v/>
      </c>
      <c r="E2" s="11">
        <f>COUNTIFS(Causal_Event_Ledger!$A$2:$A$500,"&gt;="&amp;"2016-01-01",Causal_Event_Ledger!$A$2:$A$500,"&lt;="&amp;"2016-12-31",Causal_Event_Ledger!$G$2:$G$500,"datalink_cpdlc")+COUNTIFS(Causal_Event_Ledger!$A$2:$A$500,"&gt;="&amp;"2016-01-01",Causal_Event_Ledger!$A$2:$A$500,"&lt;="&amp;"2016-12-31",Causal_Event_Ledger!$H$2:$H$500,"datalink_cpdlc")</f>
        <v/>
      </c>
      <c r="F2" s="11">
        <f>COUNTIFS(Causal_Event_Ledger!$A$2:$A$500,"&gt;="&amp;"2016-01-01",Causal_Event_Ledger!$A$2:$A$500,"&lt;="&amp;"2016-12-31",Causal_Event_Ledger!$G$2:$G$500,"network_connectivity")+COUNTIFS(Causal_Event_Ledger!$A$2:$A$500,"&gt;="&amp;"2016-01-01",Causal_Event_Ledger!$A$2:$A$500,"&lt;="&amp;"2016-12-31",Causal_Event_Ledger!$H$2:$H$500,"network_connectivity")</f>
        <v/>
      </c>
      <c r="G2" s="11">
        <f>COUNTIFS(Causal_Event_Ledger!$A$2:$A$500,"&gt;="&amp;"2016-01-01",Causal_Event_Ledger!$A$2:$A$500,"&lt;="&amp;"2016-12-31",Causal_Event_Ledger!$G$2:$G$500,"power_failure")+COUNTIFS(Causal_Event_Ledger!$A$2:$A$500,"&gt;="&amp;"2016-01-01",Causal_Event_Ledger!$A$2:$A$500,"&lt;="&amp;"2016-12-31",Causal_Event_Ledger!$H$2:$H$500,"power_failure")</f>
        <v/>
      </c>
      <c r="H2" s="11">
        <f>COUNTIFS(Causal_Event_Ledger!$A$2:$A$500,"&gt;="&amp;"2016-01-01",Causal_Event_Ledger!$A$2:$A$500,"&lt;="&amp;"2016-12-31",Causal_Event_Ledger!$G$2:$G$500,"hardware_failure")+COUNTIFS(Causal_Event_Ledger!$A$2:$A$500,"&gt;="&amp;"2016-01-01",Causal_Event_Ledger!$A$2:$A$500,"&lt;="&amp;"2016-12-31",Causal_Event_Ledger!$H$2:$H$500,"hardware_failure")</f>
        <v/>
      </c>
      <c r="I2" s="11">
        <f>COUNTIFS(Causal_Event_Ledger!$A$2:$A$500,"&gt;="&amp;"2016-01-01",Causal_Event_Ledger!$A$2:$A$500,"&lt;="&amp;"2016-12-31",Causal_Event_Ledger!$G$2:$G$500,"software_failure")+COUNTIFS(Causal_Event_Ledger!$A$2:$A$500,"&gt;="&amp;"2016-01-01",Causal_Event_Ledger!$A$2:$A$500,"&lt;="&amp;"2016-12-31",Causal_Event_Ledger!$H$2:$H$500,"software_failure")</f>
        <v/>
      </c>
      <c r="J2" s="11">
        <f>COUNTIFS(Causal_Event_Ledger!$A$2:$A$500,"&gt;="&amp;"2016-01-01",Causal_Event_Ledger!$A$2:$A$500,"&lt;="&amp;"2016-12-31",Causal_Event_Ledger!$G$2:$G$500,"gnss_jamming")+COUNTIFS(Causal_Event_Ledger!$A$2:$A$500,"&gt;="&amp;"2016-01-01",Causal_Event_Ledger!$A$2:$A$500,"&lt;="&amp;"2016-12-31",Causal_Event_Ledger!$H$2:$H$500,"gnss_jamming")</f>
        <v/>
      </c>
      <c r="K2" s="11">
        <f>COUNTIFS(Causal_Event_Ledger!$A$2:$A$500,"&gt;="&amp;"2016-01-01",Causal_Event_Ledger!$A$2:$A$500,"&lt;="&amp;"2016-12-31",Causal_Event_Ledger!$G$2:$G$500,"gnss_spoofing")+COUNTIFS(Causal_Event_Ledger!$A$2:$A$500,"&gt;="&amp;"2016-01-01",Causal_Event_Ledger!$A$2:$A$500,"&lt;="&amp;"2016-12-31",Causal_Event_Ledger!$H$2:$H$500,"gnss_spoofing")</f>
        <v/>
      </c>
      <c r="L2" s="11">
        <f>COUNTIFS(Causal_Event_Ledger!$A$2:$A$500,"&gt;="&amp;"2016-01-01",Causal_Event_Ledger!$A$2:$A$500,"&lt;="&amp;"2016-12-31",Causal_Event_Ledger!$G$2:$G$500,"unknown_investigation")+COUNTIFS(Causal_Event_Ledger!$A$2:$A$500,"&gt;="&amp;"2016-01-01",Causal_Event_Ledger!$A$2:$A$500,"&lt;="&amp;"2016-12-31",Causal_Event_Ledger!$H$2:$H$500,"unknown_investigation")</f>
        <v/>
      </c>
      <c r="M2" s="11">
        <f>COUNTIFS(Causal_Event_Ledger!$A$2:$A$500,"&gt;="&amp;"2016-01-01",Causal_Event_Ledger!$A$2:$A$500,"&lt;="&amp;"2016-12-31")</f>
        <v/>
      </c>
    </row>
    <row r="3">
      <c r="A3" s="11" t="n">
        <v>2017</v>
      </c>
      <c r="B3" s="11">
        <f>COUNTIFS(Causal_Event_Ledger!$A$2:$A$500,"&gt;="&amp;"2017-01-01",Causal_Event_Ledger!$A$2:$A$500,"&lt;="&amp;"2017-12-31",Causal_Event_Ledger!$G$2:$G$500,"comms_failure")+COUNTIFS(Causal_Event_Ledger!$A$2:$A$500,"&gt;="&amp;"2017-01-01",Causal_Event_Ledger!$A$2:$A$500,"&lt;="&amp;"2017-12-31",Causal_Event_Ledger!$H$2:$H$500,"comms_failure")</f>
        <v/>
      </c>
      <c r="C3" s="11">
        <f>COUNTIFS(Causal_Event_Ledger!$A$2:$A$500,"&gt;="&amp;"2017-01-01",Causal_Event_Ledger!$A$2:$A$500,"&lt;="&amp;"2017-12-31",Causal_Event_Ledger!$G$2:$G$500,"surveillance_failure")+COUNTIFS(Causal_Event_Ledger!$A$2:$A$500,"&gt;="&amp;"2017-01-01",Causal_Event_Ledger!$A$2:$A$500,"&lt;="&amp;"2017-12-31",Causal_Event_Ledger!$H$2:$H$500,"surveillance_failure")</f>
        <v/>
      </c>
      <c r="D3" s="11">
        <f>COUNTIFS(Causal_Event_Ledger!$A$2:$A$500,"&gt;="&amp;"2017-01-01",Causal_Event_Ledger!$A$2:$A$500,"&lt;="&amp;"2017-12-31",Causal_Event_Ledger!$G$2:$G$500,"flight_data_processing")+COUNTIFS(Causal_Event_Ledger!$A$2:$A$500,"&gt;="&amp;"2017-01-01",Causal_Event_Ledger!$A$2:$A$500,"&lt;="&amp;"2017-12-31",Causal_Event_Ledger!$H$2:$H$500,"flight_data_processing")</f>
        <v/>
      </c>
      <c r="E3" s="11">
        <f>COUNTIFS(Causal_Event_Ledger!$A$2:$A$500,"&gt;="&amp;"2017-01-01",Causal_Event_Ledger!$A$2:$A$500,"&lt;="&amp;"2017-12-31",Causal_Event_Ledger!$G$2:$G$500,"datalink_cpdlc")+COUNTIFS(Causal_Event_Ledger!$A$2:$A$500,"&gt;="&amp;"2017-01-01",Causal_Event_Ledger!$A$2:$A$500,"&lt;="&amp;"2017-12-31",Causal_Event_Ledger!$H$2:$H$500,"datalink_cpdlc")</f>
        <v/>
      </c>
      <c r="F3" s="11">
        <f>COUNTIFS(Causal_Event_Ledger!$A$2:$A$500,"&gt;="&amp;"2017-01-01",Causal_Event_Ledger!$A$2:$A$500,"&lt;="&amp;"2017-12-31",Causal_Event_Ledger!$G$2:$G$500,"network_connectivity")+COUNTIFS(Causal_Event_Ledger!$A$2:$A$500,"&gt;="&amp;"2017-01-01",Causal_Event_Ledger!$A$2:$A$500,"&lt;="&amp;"2017-12-31",Causal_Event_Ledger!$H$2:$H$500,"network_connectivity")</f>
        <v/>
      </c>
      <c r="G3" s="11">
        <f>COUNTIFS(Causal_Event_Ledger!$A$2:$A$500,"&gt;="&amp;"2017-01-01",Causal_Event_Ledger!$A$2:$A$500,"&lt;="&amp;"2017-12-31",Causal_Event_Ledger!$G$2:$G$500,"power_failure")+COUNTIFS(Causal_Event_Ledger!$A$2:$A$500,"&gt;="&amp;"2017-01-01",Causal_Event_Ledger!$A$2:$A$500,"&lt;="&amp;"2017-12-31",Causal_Event_Ledger!$H$2:$H$500,"power_failure")</f>
        <v/>
      </c>
      <c r="H3" s="11">
        <f>COUNTIFS(Causal_Event_Ledger!$A$2:$A$500,"&gt;="&amp;"2017-01-01",Causal_Event_Ledger!$A$2:$A$500,"&lt;="&amp;"2017-12-31",Causal_Event_Ledger!$G$2:$G$500,"hardware_failure")+COUNTIFS(Causal_Event_Ledger!$A$2:$A$500,"&gt;="&amp;"2017-01-01",Causal_Event_Ledger!$A$2:$A$500,"&lt;="&amp;"2017-12-31",Causal_Event_Ledger!$H$2:$H$500,"hardware_failure")</f>
        <v/>
      </c>
      <c r="I3" s="11">
        <f>COUNTIFS(Causal_Event_Ledger!$A$2:$A$500,"&gt;="&amp;"2017-01-01",Causal_Event_Ledger!$A$2:$A$500,"&lt;="&amp;"2017-12-31",Causal_Event_Ledger!$G$2:$G$500,"software_failure")+COUNTIFS(Causal_Event_Ledger!$A$2:$A$500,"&gt;="&amp;"2017-01-01",Causal_Event_Ledger!$A$2:$A$500,"&lt;="&amp;"2017-12-31",Causal_Event_Ledger!$H$2:$H$500,"software_failure")</f>
        <v/>
      </c>
      <c r="J3" s="11">
        <f>COUNTIFS(Causal_Event_Ledger!$A$2:$A$500,"&gt;="&amp;"2017-01-01",Causal_Event_Ledger!$A$2:$A$500,"&lt;="&amp;"2017-12-31",Causal_Event_Ledger!$G$2:$G$500,"gnss_jamming")+COUNTIFS(Causal_Event_Ledger!$A$2:$A$500,"&gt;="&amp;"2017-01-01",Causal_Event_Ledger!$A$2:$A$500,"&lt;="&amp;"2017-12-31",Causal_Event_Ledger!$H$2:$H$500,"gnss_jamming")</f>
        <v/>
      </c>
      <c r="K3" s="11">
        <f>COUNTIFS(Causal_Event_Ledger!$A$2:$A$500,"&gt;="&amp;"2017-01-01",Causal_Event_Ledger!$A$2:$A$500,"&lt;="&amp;"2017-12-31",Causal_Event_Ledger!$G$2:$G$500,"gnss_spoofing")+COUNTIFS(Causal_Event_Ledger!$A$2:$A$500,"&gt;="&amp;"2017-01-01",Causal_Event_Ledger!$A$2:$A$500,"&lt;="&amp;"2017-12-31",Causal_Event_Ledger!$H$2:$H$500,"gnss_spoofing")</f>
        <v/>
      </c>
      <c r="L3" s="11">
        <f>COUNTIFS(Causal_Event_Ledger!$A$2:$A$500,"&gt;="&amp;"2017-01-01",Causal_Event_Ledger!$A$2:$A$500,"&lt;="&amp;"2017-12-31",Causal_Event_Ledger!$G$2:$G$500,"unknown_investigation")+COUNTIFS(Causal_Event_Ledger!$A$2:$A$500,"&gt;="&amp;"2017-01-01",Causal_Event_Ledger!$A$2:$A$500,"&lt;="&amp;"2017-12-31",Causal_Event_Ledger!$H$2:$H$500,"unknown_investigation")</f>
        <v/>
      </c>
      <c r="M3" s="11">
        <f>COUNTIFS(Causal_Event_Ledger!$A$2:$A$500,"&gt;="&amp;"2017-01-01",Causal_Event_Ledger!$A$2:$A$500,"&lt;="&amp;"2017-12-31")</f>
        <v/>
      </c>
    </row>
    <row r="4">
      <c r="A4" s="11" t="n">
        <v>2018</v>
      </c>
      <c r="B4" s="11">
        <f>COUNTIFS(Causal_Event_Ledger!$A$2:$A$500,"&gt;="&amp;"2018-01-01",Causal_Event_Ledger!$A$2:$A$500,"&lt;="&amp;"2018-12-31",Causal_Event_Ledger!$G$2:$G$500,"comms_failure")+COUNTIFS(Causal_Event_Ledger!$A$2:$A$500,"&gt;="&amp;"2018-01-01",Causal_Event_Ledger!$A$2:$A$500,"&lt;="&amp;"2018-12-31",Causal_Event_Ledger!$H$2:$H$500,"comms_failure")</f>
        <v/>
      </c>
      <c r="C4" s="11">
        <f>COUNTIFS(Causal_Event_Ledger!$A$2:$A$500,"&gt;="&amp;"2018-01-01",Causal_Event_Ledger!$A$2:$A$500,"&lt;="&amp;"2018-12-31",Causal_Event_Ledger!$G$2:$G$500,"surveillance_failure")+COUNTIFS(Causal_Event_Ledger!$A$2:$A$500,"&gt;="&amp;"2018-01-01",Causal_Event_Ledger!$A$2:$A$500,"&lt;="&amp;"2018-12-31",Causal_Event_Ledger!$H$2:$H$500,"surveillance_failure")</f>
        <v/>
      </c>
      <c r="D4" s="11">
        <f>COUNTIFS(Causal_Event_Ledger!$A$2:$A$500,"&gt;="&amp;"2018-01-01",Causal_Event_Ledger!$A$2:$A$500,"&lt;="&amp;"2018-12-31",Causal_Event_Ledger!$G$2:$G$500,"flight_data_processing")+COUNTIFS(Causal_Event_Ledger!$A$2:$A$500,"&gt;="&amp;"2018-01-01",Causal_Event_Ledger!$A$2:$A$500,"&lt;="&amp;"2018-12-31",Causal_Event_Ledger!$H$2:$H$500,"flight_data_processing")</f>
        <v/>
      </c>
      <c r="E4" s="11">
        <f>COUNTIFS(Causal_Event_Ledger!$A$2:$A$500,"&gt;="&amp;"2018-01-01",Causal_Event_Ledger!$A$2:$A$500,"&lt;="&amp;"2018-12-31",Causal_Event_Ledger!$G$2:$G$500,"datalink_cpdlc")+COUNTIFS(Causal_Event_Ledger!$A$2:$A$500,"&gt;="&amp;"2018-01-01",Causal_Event_Ledger!$A$2:$A$500,"&lt;="&amp;"2018-12-31",Causal_Event_Ledger!$H$2:$H$500,"datalink_cpdlc")</f>
        <v/>
      </c>
      <c r="F4" s="11">
        <f>COUNTIFS(Causal_Event_Ledger!$A$2:$A$500,"&gt;="&amp;"2018-01-01",Causal_Event_Ledger!$A$2:$A$500,"&lt;="&amp;"2018-12-31",Causal_Event_Ledger!$G$2:$G$500,"network_connectivity")+COUNTIFS(Causal_Event_Ledger!$A$2:$A$500,"&gt;="&amp;"2018-01-01",Causal_Event_Ledger!$A$2:$A$500,"&lt;="&amp;"2018-12-31",Causal_Event_Ledger!$H$2:$H$500,"network_connectivity")</f>
        <v/>
      </c>
      <c r="G4" s="11">
        <f>COUNTIFS(Causal_Event_Ledger!$A$2:$A$500,"&gt;="&amp;"2018-01-01",Causal_Event_Ledger!$A$2:$A$500,"&lt;="&amp;"2018-12-31",Causal_Event_Ledger!$G$2:$G$500,"power_failure")+COUNTIFS(Causal_Event_Ledger!$A$2:$A$500,"&gt;="&amp;"2018-01-01",Causal_Event_Ledger!$A$2:$A$500,"&lt;="&amp;"2018-12-31",Causal_Event_Ledger!$H$2:$H$500,"power_failure")</f>
        <v/>
      </c>
      <c r="H4" s="11">
        <f>COUNTIFS(Causal_Event_Ledger!$A$2:$A$500,"&gt;="&amp;"2018-01-01",Causal_Event_Ledger!$A$2:$A$500,"&lt;="&amp;"2018-12-31",Causal_Event_Ledger!$G$2:$G$500,"hardware_failure")+COUNTIFS(Causal_Event_Ledger!$A$2:$A$500,"&gt;="&amp;"2018-01-01",Causal_Event_Ledger!$A$2:$A$500,"&lt;="&amp;"2018-12-31",Causal_Event_Ledger!$H$2:$H$500,"hardware_failure")</f>
        <v/>
      </c>
      <c r="I4" s="11">
        <f>COUNTIFS(Causal_Event_Ledger!$A$2:$A$500,"&gt;="&amp;"2018-01-01",Causal_Event_Ledger!$A$2:$A$500,"&lt;="&amp;"2018-12-31",Causal_Event_Ledger!$G$2:$G$500,"software_failure")+COUNTIFS(Causal_Event_Ledger!$A$2:$A$500,"&gt;="&amp;"2018-01-01",Causal_Event_Ledger!$A$2:$A$500,"&lt;="&amp;"2018-12-31",Causal_Event_Ledger!$H$2:$H$500,"software_failure")</f>
        <v/>
      </c>
      <c r="J4" s="11">
        <f>COUNTIFS(Causal_Event_Ledger!$A$2:$A$500,"&gt;="&amp;"2018-01-01",Causal_Event_Ledger!$A$2:$A$500,"&lt;="&amp;"2018-12-31",Causal_Event_Ledger!$G$2:$G$500,"gnss_jamming")+COUNTIFS(Causal_Event_Ledger!$A$2:$A$500,"&gt;="&amp;"2018-01-01",Causal_Event_Ledger!$A$2:$A$500,"&lt;="&amp;"2018-12-31",Causal_Event_Ledger!$H$2:$H$500,"gnss_jamming")</f>
        <v/>
      </c>
      <c r="K4" s="11">
        <f>COUNTIFS(Causal_Event_Ledger!$A$2:$A$500,"&gt;="&amp;"2018-01-01",Causal_Event_Ledger!$A$2:$A$500,"&lt;="&amp;"2018-12-31",Causal_Event_Ledger!$G$2:$G$500,"gnss_spoofing")+COUNTIFS(Causal_Event_Ledger!$A$2:$A$500,"&gt;="&amp;"2018-01-01",Causal_Event_Ledger!$A$2:$A$500,"&lt;="&amp;"2018-12-31",Causal_Event_Ledger!$H$2:$H$500,"gnss_spoofing")</f>
        <v/>
      </c>
      <c r="L4" s="11">
        <f>COUNTIFS(Causal_Event_Ledger!$A$2:$A$500,"&gt;="&amp;"2018-01-01",Causal_Event_Ledger!$A$2:$A$500,"&lt;="&amp;"2018-12-31",Causal_Event_Ledger!$G$2:$G$500,"unknown_investigation")+COUNTIFS(Causal_Event_Ledger!$A$2:$A$500,"&gt;="&amp;"2018-01-01",Causal_Event_Ledger!$A$2:$A$500,"&lt;="&amp;"2018-12-31",Causal_Event_Ledger!$H$2:$H$500,"unknown_investigation")</f>
        <v/>
      </c>
      <c r="M4" s="11">
        <f>COUNTIFS(Causal_Event_Ledger!$A$2:$A$500,"&gt;="&amp;"2018-01-01",Causal_Event_Ledger!$A$2:$A$500,"&lt;="&amp;"2018-12-31")</f>
        <v/>
      </c>
    </row>
    <row r="5">
      <c r="A5" s="11" t="n">
        <v>2019</v>
      </c>
      <c r="B5" s="11">
        <f>COUNTIFS(Causal_Event_Ledger!$A$2:$A$500,"&gt;="&amp;"2019-01-01",Causal_Event_Ledger!$A$2:$A$500,"&lt;="&amp;"2019-12-31",Causal_Event_Ledger!$G$2:$G$500,"comms_failure")+COUNTIFS(Causal_Event_Ledger!$A$2:$A$500,"&gt;="&amp;"2019-01-01",Causal_Event_Ledger!$A$2:$A$500,"&lt;="&amp;"2019-12-31",Causal_Event_Ledger!$H$2:$H$500,"comms_failure")</f>
        <v/>
      </c>
      <c r="C5" s="11">
        <f>COUNTIFS(Causal_Event_Ledger!$A$2:$A$500,"&gt;="&amp;"2019-01-01",Causal_Event_Ledger!$A$2:$A$500,"&lt;="&amp;"2019-12-31",Causal_Event_Ledger!$G$2:$G$500,"surveillance_failure")+COUNTIFS(Causal_Event_Ledger!$A$2:$A$500,"&gt;="&amp;"2019-01-01",Causal_Event_Ledger!$A$2:$A$500,"&lt;="&amp;"2019-12-31",Causal_Event_Ledger!$H$2:$H$500,"surveillance_failure")</f>
        <v/>
      </c>
      <c r="D5" s="11">
        <f>COUNTIFS(Causal_Event_Ledger!$A$2:$A$500,"&gt;="&amp;"2019-01-01",Causal_Event_Ledger!$A$2:$A$500,"&lt;="&amp;"2019-12-31",Causal_Event_Ledger!$G$2:$G$500,"flight_data_processing")+COUNTIFS(Causal_Event_Ledger!$A$2:$A$500,"&gt;="&amp;"2019-01-01",Causal_Event_Ledger!$A$2:$A$500,"&lt;="&amp;"2019-12-31",Causal_Event_Ledger!$H$2:$H$500,"flight_data_processing")</f>
        <v/>
      </c>
      <c r="E5" s="11">
        <f>COUNTIFS(Causal_Event_Ledger!$A$2:$A$500,"&gt;="&amp;"2019-01-01",Causal_Event_Ledger!$A$2:$A$500,"&lt;="&amp;"2019-12-31",Causal_Event_Ledger!$G$2:$G$500,"datalink_cpdlc")+COUNTIFS(Causal_Event_Ledger!$A$2:$A$500,"&gt;="&amp;"2019-01-01",Causal_Event_Ledger!$A$2:$A$500,"&lt;="&amp;"2019-12-31",Causal_Event_Ledger!$H$2:$H$500,"datalink_cpdlc")</f>
        <v/>
      </c>
      <c r="F5" s="11">
        <f>COUNTIFS(Causal_Event_Ledger!$A$2:$A$500,"&gt;="&amp;"2019-01-01",Causal_Event_Ledger!$A$2:$A$500,"&lt;="&amp;"2019-12-31",Causal_Event_Ledger!$G$2:$G$500,"network_connectivity")+COUNTIFS(Causal_Event_Ledger!$A$2:$A$500,"&gt;="&amp;"2019-01-01",Causal_Event_Ledger!$A$2:$A$500,"&lt;="&amp;"2019-12-31",Causal_Event_Ledger!$H$2:$H$500,"network_connectivity")</f>
        <v/>
      </c>
      <c r="G5" s="11">
        <f>COUNTIFS(Causal_Event_Ledger!$A$2:$A$500,"&gt;="&amp;"2019-01-01",Causal_Event_Ledger!$A$2:$A$500,"&lt;="&amp;"2019-12-31",Causal_Event_Ledger!$G$2:$G$500,"power_failure")+COUNTIFS(Causal_Event_Ledger!$A$2:$A$500,"&gt;="&amp;"2019-01-01",Causal_Event_Ledger!$A$2:$A$500,"&lt;="&amp;"2019-12-31",Causal_Event_Ledger!$H$2:$H$500,"power_failure")</f>
        <v/>
      </c>
      <c r="H5" s="11">
        <f>COUNTIFS(Causal_Event_Ledger!$A$2:$A$500,"&gt;="&amp;"2019-01-01",Causal_Event_Ledger!$A$2:$A$500,"&lt;="&amp;"2019-12-31",Causal_Event_Ledger!$G$2:$G$500,"hardware_failure")+COUNTIFS(Causal_Event_Ledger!$A$2:$A$500,"&gt;="&amp;"2019-01-01",Causal_Event_Ledger!$A$2:$A$500,"&lt;="&amp;"2019-12-31",Causal_Event_Ledger!$H$2:$H$500,"hardware_failure")</f>
        <v/>
      </c>
      <c r="I5" s="11">
        <f>COUNTIFS(Causal_Event_Ledger!$A$2:$A$500,"&gt;="&amp;"2019-01-01",Causal_Event_Ledger!$A$2:$A$500,"&lt;="&amp;"2019-12-31",Causal_Event_Ledger!$G$2:$G$500,"software_failure")+COUNTIFS(Causal_Event_Ledger!$A$2:$A$500,"&gt;="&amp;"2019-01-01",Causal_Event_Ledger!$A$2:$A$500,"&lt;="&amp;"2019-12-31",Causal_Event_Ledger!$H$2:$H$500,"software_failure")</f>
        <v/>
      </c>
      <c r="J5" s="11">
        <f>COUNTIFS(Causal_Event_Ledger!$A$2:$A$500,"&gt;="&amp;"2019-01-01",Causal_Event_Ledger!$A$2:$A$500,"&lt;="&amp;"2019-12-31",Causal_Event_Ledger!$G$2:$G$500,"gnss_jamming")+COUNTIFS(Causal_Event_Ledger!$A$2:$A$500,"&gt;="&amp;"2019-01-01",Causal_Event_Ledger!$A$2:$A$500,"&lt;="&amp;"2019-12-31",Causal_Event_Ledger!$H$2:$H$500,"gnss_jamming")</f>
        <v/>
      </c>
      <c r="K5" s="11">
        <f>COUNTIFS(Causal_Event_Ledger!$A$2:$A$500,"&gt;="&amp;"2019-01-01",Causal_Event_Ledger!$A$2:$A$500,"&lt;="&amp;"2019-12-31",Causal_Event_Ledger!$G$2:$G$500,"gnss_spoofing")+COUNTIFS(Causal_Event_Ledger!$A$2:$A$500,"&gt;="&amp;"2019-01-01",Causal_Event_Ledger!$A$2:$A$500,"&lt;="&amp;"2019-12-31",Causal_Event_Ledger!$H$2:$H$500,"gnss_spoofing")</f>
        <v/>
      </c>
      <c r="L5" s="11">
        <f>COUNTIFS(Causal_Event_Ledger!$A$2:$A$500,"&gt;="&amp;"2019-01-01",Causal_Event_Ledger!$A$2:$A$500,"&lt;="&amp;"2019-12-31",Causal_Event_Ledger!$G$2:$G$500,"unknown_investigation")+COUNTIFS(Causal_Event_Ledger!$A$2:$A$500,"&gt;="&amp;"2019-01-01",Causal_Event_Ledger!$A$2:$A$500,"&lt;="&amp;"2019-12-31",Causal_Event_Ledger!$H$2:$H$500,"unknown_investigation")</f>
        <v/>
      </c>
      <c r="M5" s="11">
        <f>COUNTIFS(Causal_Event_Ledger!$A$2:$A$500,"&gt;="&amp;"2019-01-01",Causal_Event_Ledger!$A$2:$A$500,"&lt;="&amp;"2019-12-31")</f>
        <v/>
      </c>
    </row>
    <row r="6">
      <c r="A6" s="11" t="n">
        <v>2020</v>
      </c>
      <c r="B6" s="11">
        <f>COUNTIFS(Causal_Event_Ledger!$A$2:$A$500,"&gt;="&amp;"2020-01-01",Causal_Event_Ledger!$A$2:$A$500,"&lt;="&amp;"2020-12-31",Causal_Event_Ledger!$G$2:$G$500,"comms_failure")+COUNTIFS(Causal_Event_Ledger!$A$2:$A$500,"&gt;="&amp;"2020-01-01",Causal_Event_Ledger!$A$2:$A$500,"&lt;="&amp;"2020-12-31",Causal_Event_Ledger!$H$2:$H$500,"comms_failure")</f>
        <v/>
      </c>
      <c r="C6" s="11">
        <f>COUNTIFS(Causal_Event_Ledger!$A$2:$A$500,"&gt;="&amp;"2020-01-01",Causal_Event_Ledger!$A$2:$A$500,"&lt;="&amp;"2020-12-31",Causal_Event_Ledger!$G$2:$G$500,"surveillance_failure")+COUNTIFS(Causal_Event_Ledger!$A$2:$A$500,"&gt;="&amp;"2020-01-01",Causal_Event_Ledger!$A$2:$A$500,"&lt;="&amp;"2020-12-31",Causal_Event_Ledger!$H$2:$H$500,"surveillance_failure")</f>
        <v/>
      </c>
      <c r="D6" s="11">
        <f>COUNTIFS(Causal_Event_Ledger!$A$2:$A$500,"&gt;="&amp;"2020-01-01",Causal_Event_Ledger!$A$2:$A$500,"&lt;="&amp;"2020-12-31",Causal_Event_Ledger!$G$2:$G$500,"flight_data_processing")+COUNTIFS(Causal_Event_Ledger!$A$2:$A$500,"&gt;="&amp;"2020-01-01",Causal_Event_Ledger!$A$2:$A$500,"&lt;="&amp;"2020-12-31",Causal_Event_Ledger!$H$2:$H$500,"flight_data_processing")</f>
        <v/>
      </c>
      <c r="E6" s="11">
        <f>COUNTIFS(Causal_Event_Ledger!$A$2:$A$500,"&gt;="&amp;"2020-01-01",Causal_Event_Ledger!$A$2:$A$500,"&lt;="&amp;"2020-12-31",Causal_Event_Ledger!$G$2:$G$500,"datalink_cpdlc")+COUNTIFS(Causal_Event_Ledger!$A$2:$A$500,"&gt;="&amp;"2020-01-01",Causal_Event_Ledger!$A$2:$A$500,"&lt;="&amp;"2020-12-31",Causal_Event_Ledger!$H$2:$H$500,"datalink_cpdlc")</f>
        <v/>
      </c>
      <c r="F6" s="11">
        <f>COUNTIFS(Causal_Event_Ledger!$A$2:$A$500,"&gt;="&amp;"2020-01-01",Causal_Event_Ledger!$A$2:$A$500,"&lt;="&amp;"2020-12-31",Causal_Event_Ledger!$G$2:$G$500,"network_connectivity")+COUNTIFS(Causal_Event_Ledger!$A$2:$A$500,"&gt;="&amp;"2020-01-01",Causal_Event_Ledger!$A$2:$A$500,"&lt;="&amp;"2020-12-31",Causal_Event_Ledger!$H$2:$H$500,"network_connectivity")</f>
        <v/>
      </c>
      <c r="G6" s="11">
        <f>COUNTIFS(Causal_Event_Ledger!$A$2:$A$500,"&gt;="&amp;"2020-01-01",Causal_Event_Ledger!$A$2:$A$500,"&lt;="&amp;"2020-12-31",Causal_Event_Ledger!$G$2:$G$500,"power_failure")+COUNTIFS(Causal_Event_Ledger!$A$2:$A$500,"&gt;="&amp;"2020-01-01",Causal_Event_Ledger!$A$2:$A$500,"&lt;="&amp;"2020-12-31",Causal_Event_Ledger!$H$2:$H$500,"power_failure")</f>
        <v/>
      </c>
      <c r="H6" s="11">
        <f>COUNTIFS(Causal_Event_Ledger!$A$2:$A$500,"&gt;="&amp;"2020-01-01",Causal_Event_Ledger!$A$2:$A$500,"&lt;="&amp;"2020-12-31",Causal_Event_Ledger!$G$2:$G$500,"hardware_failure")+COUNTIFS(Causal_Event_Ledger!$A$2:$A$500,"&gt;="&amp;"2020-01-01",Causal_Event_Ledger!$A$2:$A$500,"&lt;="&amp;"2020-12-31",Causal_Event_Ledger!$H$2:$H$500,"hardware_failure")</f>
        <v/>
      </c>
      <c r="I6" s="11">
        <f>COUNTIFS(Causal_Event_Ledger!$A$2:$A$500,"&gt;="&amp;"2020-01-01",Causal_Event_Ledger!$A$2:$A$500,"&lt;="&amp;"2020-12-31",Causal_Event_Ledger!$G$2:$G$500,"software_failure")+COUNTIFS(Causal_Event_Ledger!$A$2:$A$500,"&gt;="&amp;"2020-01-01",Causal_Event_Ledger!$A$2:$A$500,"&lt;="&amp;"2020-12-31",Causal_Event_Ledger!$H$2:$H$500,"software_failure")</f>
        <v/>
      </c>
      <c r="J6" s="11">
        <f>COUNTIFS(Causal_Event_Ledger!$A$2:$A$500,"&gt;="&amp;"2020-01-01",Causal_Event_Ledger!$A$2:$A$500,"&lt;="&amp;"2020-12-31",Causal_Event_Ledger!$G$2:$G$500,"gnss_jamming")+COUNTIFS(Causal_Event_Ledger!$A$2:$A$500,"&gt;="&amp;"2020-01-01",Causal_Event_Ledger!$A$2:$A$500,"&lt;="&amp;"2020-12-31",Causal_Event_Ledger!$H$2:$H$500,"gnss_jamming")</f>
        <v/>
      </c>
      <c r="K6" s="11">
        <f>COUNTIFS(Causal_Event_Ledger!$A$2:$A$500,"&gt;="&amp;"2020-01-01",Causal_Event_Ledger!$A$2:$A$500,"&lt;="&amp;"2020-12-31",Causal_Event_Ledger!$G$2:$G$500,"gnss_spoofing")+COUNTIFS(Causal_Event_Ledger!$A$2:$A$500,"&gt;="&amp;"2020-01-01",Causal_Event_Ledger!$A$2:$A$500,"&lt;="&amp;"2020-12-31",Causal_Event_Ledger!$H$2:$H$500,"gnss_spoofing")</f>
        <v/>
      </c>
      <c r="L6" s="11">
        <f>COUNTIFS(Causal_Event_Ledger!$A$2:$A$500,"&gt;="&amp;"2020-01-01",Causal_Event_Ledger!$A$2:$A$500,"&lt;="&amp;"2020-12-31",Causal_Event_Ledger!$G$2:$G$500,"unknown_investigation")+COUNTIFS(Causal_Event_Ledger!$A$2:$A$500,"&gt;="&amp;"2020-01-01",Causal_Event_Ledger!$A$2:$A$500,"&lt;="&amp;"2020-12-31",Causal_Event_Ledger!$H$2:$H$500,"unknown_investigation")</f>
        <v/>
      </c>
      <c r="M6" s="11">
        <f>COUNTIFS(Causal_Event_Ledger!$A$2:$A$500,"&gt;="&amp;"2020-01-01",Causal_Event_Ledger!$A$2:$A$500,"&lt;="&amp;"2020-12-31")</f>
        <v/>
      </c>
    </row>
    <row r="7">
      <c r="A7" s="11" t="n">
        <v>2021</v>
      </c>
      <c r="B7" s="11">
        <f>COUNTIFS(Causal_Event_Ledger!$A$2:$A$500,"&gt;="&amp;"2021-01-01",Causal_Event_Ledger!$A$2:$A$500,"&lt;="&amp;"2021-12-31",Causal_Event_Ledger!$G$2:$G$500,"comms_failure")+COUNTIFS(Causal_Event_Ledger!$A$2:$A$500,"&gt;="&amp;"2021-01-01",Causal_Event_Ledger!$A$2:$A$500,"&lt;="&amp;"2021-12-31",Causal_Event_Ledger!$H$2:$H$500,"comms_failure")</f>
        <v/>
      </c>
      <c r="C7" s="11">
        <f>COUNTIFS(Causal_Event_Ledger!$A$2:$A$500,"&gt;="&amp;"2021-01-01",Causal_Event_Ledger!$A$2:$A$500,"&lt;="&amp;"2021-12-31",Causal_Event_Ledger!$G$2:$G$500,"surveillance_failure")+COUNTIFS(Causal_Event_Ledger!$A$2:$A$500,"&gt;="&amp;"2021-01-01",Causal_Event_Ledger!$A$2:$A$500,"&lt;="&amp;"2021-12-31",Causal_Event_Ledger!$H$2:$H$500,"surveillance_failure")</f>
        <v/>
      </c>
      <c r="D7" s="11">
        <f>COUNTIFS(Causal_Event_Ledger!$A$2:$A$500,"&gt;="&amp;"2021-01-01",Causal_Event_Ledger!$A$2:$A$500,"&lt;="&amp;"2021-12-31",Causal_Event_Ledger!$G$2:$G$500,"flight_data_processing")+COUNTIFS(Causal_Event_Ledger!$A$2:$A$500,"&gt;="&amp;"2021-01-01",Causal_Event_Ledger!$A$2:$A$500,"&lt;="&amp;"2021-12-31",Causal_Event_Ledger!$H$2:$H$500,"flight_data_processing")</f>
        <v/>
      </c>
      <c r="E7" s="11">
        <f>COUNTIFS(Causal_Event_Ledger!$A$2:$A$500,"&gt;="&amp;"2021-01-01",Causal_Event_Ledger!$A$2:$A$500,"&lt;="&amp;"2021-12-31",Causal_Event_Ledger!$G$2:$G$500,"datalink_cpdlc")+COUNTIFS(Causal_Event_Ledger!$A$2:$A$500,"&gt;="&amp;"2021-01-01",Causal_Event_Ledger!$A$2:$A$500,"&lt;="&amp;"2021-12-31",Causal_Event_Ledger!$H$2:$H$500,"datalink_cpdlc")</f>
        <v/>
      </c>
      <c r="F7" s="11">
        <f>COUNTIFS(Causal_Event_Ledger!$A$2:$A$500,"&gt;="&amp;"2021-01-01",Causal_Event_Ledger!$A$2:$A$500,"&lt;="&amp;"2021-12-31",Causal_Event_Ledger!$G$2:$G$500,"network_connectivity")+COUNTIFS(Causal_Event_Ledger!$A$2:$A$500,"&gt;="&amp;"2021-01-01",Causal_Event_Ledger!$A$2:$A$500,"&lt;="&amp;"2021-12-31",Causal_Event_Ledger!$H$2:$H$500,"network_connectivity")</f>
        <v/>
      </c>
      <c r="G7" s="11">
        <f>COUNTIFS(Causal_Event_Ledger!$A$2:$A$500,"&gt;="&amp;"2021-01-01",Causal_Event_Ledger!$A$2:$A$500,"&lt;="&amp;"2021-12-31",Causal_Event_Ledger!$G$2:$G$500,"power_failure")+COUNTIFS(Causal_Event_Ledger!$A$2:$A$500,"&gt;="&amp;"2021-01-01",Causal_Event_Ledger!$A$2:$A$500,"&lt;="&amp;"2021-12-31",Causal_Event_Ledger!$H$2:$H$500,"power_failure")</f>
        <v/>
      </c>
      <c r="H7" s="11">
        <f>COUNTIFS(Causal_Event_Ledger!$A$2:$A$500,"&gt;="&amp;"2021-01-01",Causal_Event_Ledger!$A$2:$A$500,"&lt;="&amp;"2021-12-31",Causal_Event_Ledger!$G$2:$G$500,"hardware_failure")+COUNTIFS(Causal_Event_Ledger!$A$2:$A$500,"&gt;="&amp;"2021-01-01",Causal_Event_Ledger!$A$2:$A$500,"&lt;="&amp;"2021-12-31",Causal_Event_Ledger!$H$2:$H$500,"hardware_failure")</f>
        <v/>
      </c>
      <c r="I7" s="11">
        <f>COUNTIFS(Causal_Event_Ledger!$A$2:$A$500,"&gt;="&amp;"2021-01-01",Causal_Event_Ledger!$A$2:$A$500,"&lt;="&amp;"2021-12-31",Causal_Event_Ledger!$G$2:$G$500,"software_failure")+COUNTIFS(Causal_Event_Ledger!$A$2:$A$500,"&gt;="&amp;"2021-01-01",Causal_Event_Ledger!$A$2:$A$500,"&lt;="&amp;"2021-12-31",Causal_Event_Ledger!$H$2:$H$500,"software_failure")</f>
        <v/>
      </c>
      <c r="J7" s="11">
        <f>COUNTIFS(Causal_Event_Ledger!$A$2:$A$500,"&gt;="&amp;"2021-01-01",Causal_Event_Ledger!$A$2:$A$500,"&lt;="&amp;"2021-12-31",Causal_Event_Ledger!$G$2:$G$500,"gnss_jamming")+COUNTIFS(Causal_Event_Ledger!$A$2:$A$500,"&gt;="&amp;"2021-01-01",Causal_Event_Ledger!$A$2:$A$500,"&lt;="&amp;"2021-12-31",Causal_Event_Ledger!$H$2:$H$500,"gnss_jamming")</f>
        <v/>
      </c>
      <c r="K7" s="11">
        <f>COUNTIFS(Causal_Event_Ledger!$A$2:$A$500,"&gt;="&amp;"2021-01-01",Causal_Event_Ledger!$A$2:$A$500,"&lt;="&amp;"2021-12-31",Causal_Event_Ledger!$G$2:$G$500,"gnss_spoofing")+COUNTIFS(Causal_Event_Ledger!$A$2:$A$500,"&gt;="&amp;"2021-01-01",Causal_Event_Ledger!$A$2:$A$500,"&lt;="&amp;"2021-12-31",Causal_Event_Ledger!$H$2:$H$500,"gnss_spoofing")</f>
        <v/>
      </c>
      <c r="L7" s="11">
        <f>COUNTIFS(Causal_Event_Ledger!$A$2:$A$500,"&gt;="&amp;"2021-01-01",Causal_Event_Ledger!$A$2:$A$500,"&lt;="&amp;"2021-12-31",Causal_Event_Ledger!$G$2:$G$500,"unknown_investigation")+COUNTIFS(Causal_Event_Ledger!$A$2:$A$500,"&gt;="&amp;"2021-01-01",Causal_Event_Ledger!$A$2:$A$500,"&lt;="&amp;"2021-12-31",Causal_Event_Ledger!$H$2:$H$500,"unknown_investigation")</f>
        <v/>
      </c>
      <c r="M7" s="11">
        <f>COUNTIFS(Causal_Event_Ledger!$A$2:$A$500,"&gt;="&amp;"2021-01-01",Causal_Event_Ledger!$A$2:$A$500,"&lt;="&amp;"2021-12-31")</f>
        <v/>
      </c>
    </row>
    <row r="8">
      <c r="A8" s="11" t="n">
        <v>2022</v>
      </c>
      <c r="B8" s="11">
        <f>COUNTIFS(Causal_Event_Ledger!$A$2:$A$500,"&gt;="&amp;"2022-01-01",Causal_Event_Ledger!$A$2:$A$500,"&lt;="&amp;"2022-12-31",Causal_Event_Ledger!$G$2:$G$500,"comms_failure")+COUNTIFS(Causal_Event_Ledger!$A$2:$A$500,"&gt;="&amp;"2022-01-01",Causal_Event_Ledger!$A$2:$A$500,"&lt;="&amp;"2022-12-31",Causal_Event_Ledger!$H$2:$H$500,"comms_failure")</f>
        <v/>
      </c>
      <c r="C8" s="11">
        <f>COUNTIFS(Causal_Event_Ledger!$A$2:$A$500,"&gt;="&amp;"2022-01-01",Causal_Event_Ledger!$A$2:$A$500,"&lt;="&amp;"2022-12-31",Causal_Event_Ledger!$G$2:$G$500,"surveillance_failure")+COUNTIFS(Causal_Event_Ledger!$A$2:$A$500,"&gt;="&amp;"2022-01-01",Causal_Event_Ledger!$A$2:$A$500,"&lt;="&amp;"2022-12-31",Causal_Event_Ledger!$H$2:$H$500,"surveillance_failure")</f>
        <v/>
      </c>
      <c r="D8" s="11">
        <f>COUNTIFS(Causal_Event_Ledger!$A$2:$A$500,"&gt;="&amp;"2022-01-01",Causal_Event_Ledger!$A$2:$A$500,"&lt;="&amp;"2022-12-31",Causal_Event_Ledger!$G$2:$G$500,"flight_data_processing")+COUNTIFS(Causal_Event_Ledger!$A$2:$A$500,"&gt;="&amp;"2022-01-01",Causal_Event_Ledger!$A$2:$A$500,"&lt;="&amp;"2022-12-31",Causal_Event_Ledger!$H$2:$H$500,"flight_data_processing")</f>
        <v/>
      </c>
      <c r="E8" s="11">
        <f>COUNTIFS(Causal_Event_Ledger!$A$2:$A$500,"&gt;="&amp;"2022-01-01",Causal_Event_Ledger!$A$2:$A$500,"&lt;="&amp;"2022-12-31",Causal_Event_Ledger!$G$2:$G$500,"datalink_cpdlc")+COUNTIFS(Causal_Event_Ledger!$A$2:$A$500,"&gt;="&amp;"2022-01-01",Causal_Event_Ledger!$A$2:$A$500,"&lt;="&amp;"2022-12-31",Causal_Event_Ledger!$H$2:$H$500,"datalink_cpdlc")</f>
        <v/>
      </c>
      <c r="F8" s="11">
        <f>COUNTIFS(Causal_Event_Ledger!$A$2:$A$500,"&gt;="&amp;"2022-01-01",Causal_Event_Ledger!$A$2:$A$500,"&lt;="&amp;"2022-12-31",Causal_Event_Ledger!$G$2:$G$500,"network_connectivity")+COUNTIFS(Causal_Event_Ledger!$A$2:$A$500,"&gt;="&amp;"2022-01-01",Causal_Event_Ledger!$A$2:$A$500,"&lt;="&amp;"2022-12-31",Causal_Event_Ledger!$H$2:$H$500,"network_connectivity")</f>
        <v/>
      </c>
      <c r="G8" s="11">
        <f>COUNTIFS(Causal_Event_Ledger!$A$2:$A$500,"&gt;="&amp;"2022-01-01",Causal_Event_Ledger!$A$2:$A$500,"&lt;="&amp;"2022-12-31",Causal_Event_Ledger!$G$2:$G$500,"power_failure")+COUNTIFS(Causal_Event_Ledger!$A$2:$A$500,"&gt;="&amp;"2022-01-01",Causal_Event_Ledger!$A$2:$A$500,"&lt;="&amp;"2022-12-31",Causal_Event_Ledger!$H$2:$H$500,"power_failure")</f>
        <v/>
      </c>
      <c r="H8" s="11">
        <f>COUNTIFS(Causal_Event_Ledger!$A$2:$A$500,"&gt;="&amp;"2022-01-01",Causal_Event_Ledger!$A$2:$A$500,"&lt;="&amp;"2022-12-31",Causal_Event_Ledger!$G$2:$G$500,"hardware_failure")+COUNTIFS(Causal_Event_Ledger!$A$2:$A$500,"&gt;="&amp;"2022-01-01",Causal_Event_Ledger!$A$2:$A$500,"&lt;="&amp;"2022-12-31",Causal_Event_Ledger!$H$2:$H$500,"hardware_failure")</f>
        <v/>
      </c>
      <c r="I8" s="11">
        <f>COUNTIFS(Causal_Event_Ledger!$A$2:$A$500,"&gt;="&amp;"2022-01-01",Causal_Event_Ledger!$A$2:$A$500,"&lt;="&amp;"2022-12-31",Causal_Event_Ledger!$G$2:$G$500,"software_failure")+COUNTIFS(Causal_Event_Ledger!$A$2:$A$500,"&gt;="&amp;"2022-01-01",Causal_Event_Ledger!$A$2:$A$500,"&lt;="&amp;"2022-12-31",Causal_Event_Ledger!$H$2:$H$500,"software_failure")</f>
        <v/>
      </c>
      <c r="J8" s="11">
        <f>COUNTIFS(Causal_Event_Ledger!$A$2:$A$500,"&gt;="&amp;"2022-01-01",Causal_Event_Ledger!$A$2:$A$500,"&lt;="&amp;"2022-12-31",Causal_Event_Ledger!$G$2:$G$500,"gnss_jamming")+COUNTIFS(Causal_Event_Ledger!$A$2:$A$500,"&gt;="&amp;"2022-01-01",Causal_Event_Ledger!$A$2:$A$500,"&lt;="&amp;"2022-12-31",Causal_Event_Ledger!$H$2:$H$500,"gnss_jamming")</f>
        <v/>
      </c>
      <c r="K8" s="11">
        <f>COUNTIFS(Causal_Event_Ledger!$A$2:$A$500,"&gt;="&amp;"2022-01-01",Causal_Event_Ledger!$A$2:$A$500,"&lt;="&amp;"2022-12-31",Causal_Event_Ledger!$G$2:$G$500,"gnss_spoofing")+COUNTIFS(Causal_Event_Ledger!$A$2:$A$500,"&gt;="&amp;"2022-01-01",Causal_Event_Ledger!$A$2:$A$500,"&lt;="&amp;"2022-12-31",Causal_Event_Ledger!$H$2:$H$500,"gnss_spoofing")</f>
        <v/>
      </c>
      <c r="L8" s="11">
        <f>COUNTIFS(Causal_Event_Ledger!$A$2:$A$500,"&gt;="&amp;"2022-01-01",Causal_Event_Ledger!$A$2:$A$500,"&lt;="&amp;"2022-12-31",Causal_Event_Ledger!$G$2:$G$500,"unknown_investigation")+COUNTIFS(Causal_Event_Ledger!$A$2:$A$500,"&gt;="&amp;"2022-01-01",Causal_Event_Ledger!$A$2:$A$500,"&lt;="&amp;"2022-12-31",Causal_Event_Ledger!$H$2:$H$500,"unknown_investigation")</f>
        <v/>
      </c>
      <c r="M8" s="11">
        <f>COUNTIFS(Causal_Event_Ledger!$A$2:$A$500,"&gt;="&amp;"2022-01-01",Causal_Event_Ledger!$A$2:$A$500,"&lt;="&amp;"2022-12-31")</f>
        <v/>
      </c>
    </row>
    <row r="9">
      <c r="A9" s="11" t="n">
        <v>2023</v>
      </c>
      <c r="B9" s="11">
        <f>COUNTIFS(Causal_Event_Ledger!$A$2:$A$500,"&gt;="&amp;"2023-01-01",Causal_Event_Ledger!$A$2:$A$500,"&lt;="&amp;"2023-12-31",Causal_Event_Ledger!$G$2:$G$500,"comms_failure")+COUNTIFS(Causal_Event_Ledger!$A$2:$A$500,"&gt;="&amp;"2023-01-01",Causal_Event_Ledger!$A$2:$A$500,"&lt;="&amp;"2023-12-31",Causal_Event_Ledger!$H$2:$H$500,"comms_failure")</f>
        <v/>
      </c>
      <c r="C9" s="11">
        <f>COUNTIFS(Causal_Event_Ledger!$A$2:$A$500,"&gt;="&amp;"2023-01-01",Causal_Event_Ledger!$A$2:$A$500,"&lt;="&amp;"2023-12-31",Causal_Event_Ledger!$G$2:$G$500,"surveillance_failure")+COUNTIFS(Causal_Event_Ledger!$A$2:$A$500,"&gt;="&amp;"2023-01-01",Causal_Event_Ledger!$A$2:$A$500,"&lt;="&amp;"2023-12-31",Causal_Event_Ledger!$H$2:$H$500,"surveillance_failure")</f>
        <v/>
      </c>
      <c r="D9" s="11">
        <f>COUNTIFS(Causal_Event_Ledger!$A$2:$A$500,"&gt;="&amp;"2023-01-01",Causal_Event_Ledger!$A$2:$A$500,"&lt;="&amp;"2023-12-31",Causal_Event_Ledger!$G$2:$G$500,"flight_data_processing")+COUNTIFS(Causal_Event_Ledger!$A$2:$A$500,"&gt;="&amp;"2023-01-01",Causal_Event_Ledger!$A$2:$A$500,"&lt;="&amp;"2023-12-31",Causal_Event_Ledger!$H$2:$H$500,"flight_data_processing")</f>
        <v/>
      </c>
      <c r="E9" s="11">
        <f>COUNTIFS(Causal_Event_Ledger!$A$2:$A$500,"&gt;="&amp;"2023-01-01",Causal_Event_Ledger!$A$2:$A$500,"&lt;="&amp;"2023-12-31",Causal_Event_Ledger!$G$2:$G$500,"datalink_cpdlc")+COUNTIFS(Causal_Event_Ledger!$A$2:$A$500,"&gt;="&amp;"2023-01-01",Causal_Event_Ledger!$A$2:$A$500,"&lt;="&amp;"2023-12-31",Causal_Event_Ledger!$H$2:$H$500,"datalink_cpdlc")</f>
        <v/>
      </c>
      <c r="F9" s="11">
        <f>COUNTIFS(Causal_Event_Ledger!$A$2:$A$500,"&gt;="&amp;"2023-01-01",Causal_Event_Ledger!$A$2:$A$500,"&lt;="&amp;"2023-12-31",Causal_Event_Ledger!$G$2:$G$500,"network_connectivity")+COUNTIFS(Causal_Event_Ledger!$A$2:$A$500,"&gt;="&amp;"2023-01-01",Causal_Event_Ledger!$A$2:$A$500,"&lt;="&amp;"2023-12-31",Causal_Event_Ledger!$H$2:$H$500,"network_connectivity")</f>
        <v/>
      </c>
      <c r="G9" s="11">
        <f>COUNTIFS(Causal_Event_Ledger!$A$2:$A$500,"&gt;="&amp;"2023-01-01",Causal_Event_Ledger!$A$2:$A$500,"&lt;="&amp;"2023-12-31",Causal_Event_Ledger!$G$2:$G$500,"power_failure")+COUNTIFS(Causal_Event_Ledger!$A$2:$A$500,"&gt;="&amp;"2023-01-01",Causal_Event_Ledger!$A$2:$A$500,"&lt;="&amp;"2023-12-31",Causal_Event_Ledger!$H$2:$H$500,"power_failure")</f>
        <v/>
      </c>
      <c r="H9" s="11">
        <f>COUNTIFS(Causal_Event_Ledger!$A$2:$A$500,"&gt;="&amp;"2023-01-01",Causal_Event_Ledger!$A$2:$A$500,"&lt;="&amp;"2023-12-31",Causal_Event_Ledger!$G$2:$G$500,"hardware_failure")+COUNTIFS(Causal_Event_Ledger!$A$2:$A$500,"&gt;="&amp;"2023-01-01",Causal_Event_Ledger!$A$2:$A$500,"&lt;="&amp;"2023-12-31",Causal_Event_Ledger!$H$2:$H$500,"hardware_failure")</f>
        <v/>
      </c>
      <c r="I9" s="11">
        <f>COUNTIFS(Causal_Event_Ledger!$A$2:$A$500,"&gt;="&amp;"2023-01-01",Causal_Event_Ledger!$A$2:$A$500,"&lt;="&amp;"2023-12-31",Causal_Event_Ledger!$G$2:$G$500,"software_failure")+COUNTIFS(Causal_Event_Ledger!$A$2:$A$500,"&gt;="&amp;"2023-01-01",Causal_Event_Ledger!$A$2:$A$500,"&lt;="&amp;"2023-12-31",Causal_Event_Ledger!$H$2:$H$500,"software_failure")</f>
        <v/>
      </c>
      <c r="J9" s="11">
        <f>COUNTIFS(Causal_Event_Ledger!$A$2:$A$500,"&gt;="&amp;"2023-01-01",Causal_Event_Ledger!$A$2:$A$500,"&lt;="&amp;"2023-12-31",Causal_Event_Ledger!$G$2:$G$500,"gnss_jamming")+COUNTIFS(Causal_Event_Ledger!$A$2:$A$500,"&gt;="&amp;"2023-01-01",Causal_Event_Ledger!$A$2:$A$500,"&lt;="&amp;"2023-12-31",Causal_Event_Ledger!$H$2:$H$500,"gnss_jamming")</f>
        <v/>
      </c>
      <c r="K9" s="11">
        <f>COUNTIFS(Causal_Event_Ledger!$A$2:$A$500,"&gt;="&amp;"2023-01-01",Causal_Event_Ledger!$A$2:$A$500,"&lt;="&amp;"2023-12-31",Causal_Event_Ledger!$G$2:$G$500,"gnss_spoofing")+COUNTIFS(Causal_Event_Ledger!$A$2:$A$500,"&gt;="&amp;"2023-01-01",Causal_Event_Ledger!$A$2:$A$500,"&lt;="&amp;"2023-12-31",Causal_Event_Ledger!$H$2:$H$500,"gnss_spoofing")</f>
        <v/>
      </c>
      <c r="L9" s="11">
        <f>COUNTIFS(Causal_Event_Ledger!$A$2:$A$500,"&gt;="&amp;"2023-01-01",Causal_Event_Ledger!$A$2:$A$500,"&lt;="&amp;"2023-12-31",Causal_Event_Ledger!$G$2:$G$500,"unknown_investigation")+COUNTIFS(Causal_Event_Ledger!$A$2:$A$500,"&gt;="&amp;"2023-01-01",Causal_Event_Ledger!$A$2:$A$500,"&lt;="&amp;"2023-12-31",Causal_Event_Ledger!$H$2:$H$500,"unknown_investigation")</f>
        <v/>
      </c>
      <c r="M9" s="11">
        <f>COUNTIFS(Causal_Event_Ledger!$A$2:$A$500,"&gt;="&amp;"2023-01-01",Causal_Event_Ledger!$A$2:$A$500,"&lt;="&amp;"2023-12-31")</f>
        <v/>
      </c>
    </row>
    <row r="10">
      <c r="A10" s="11" t="n">
        <v>2024</v>
      </c>
      <c r="B10" s="11">
        <f>COUNTIFS(Causal_Event_Ledger!$A$2:$A$500,"&gt;="&amp;"2024-01-01",Causal_Event_Ledger!$A$2:$A$500,"&lt;="&amp;"2024-12-31",Causal_Event_Ledger!$G$2:$G$500,"comms_failure")+COUNTIFS(Causal_Event_Ledger!$A$2:$A$500,"&gt;="&amp;"2024-01-01",Causal_Event_Ledger!$A$2:$A$500,"&lt;="&amp;"2024-12-31",Causal_Event_Ledger!$H$2:$H$500,"comms_failure")</f>
        <v/>
      </c>
      <c r="C10" s="11">
        <f>COUNTIFS(Causal_Event_Ledger!$A$2:$A$500,"&gt;="&amp;"2024-01-01",Causal_Event_Ledger!$A$2:$A$500,"&lt;="&amp;"2024-12-31",Causal_Event_Ledger!$G$2:$G$500,"surveillance_failure")+COUNTIFS(Causal_Event_Ledger!$A$2:$A$500,"&gt;="&amp;"2024-01-01",Causal_Event_Ledger!$A$2:$A$500,"&lt;="&amp;"2024-12-31",Causal_Event_Ledger!$H$2:$H$500,"surveillance_failure")</f>
        <v/>
      </c>
      <c r="D10" s="11">
        <f>COUNTIFS(Causal_Event_Ledger!$A$2:$A$500,"&gt;="&amp;"2024-01-01",Causal_Event_Ledger!$A$2:$A$500,"&lt;="&amp;"2024-12-31",Causal_Event_Ledger!$G$2:$G$500,"flight_data_processing")+COUNTIFS(Causal_Event_Ledger!$A$2:$A$500,"&gt;="&amp;"2024-01-01",Causal_Event_Ledger!$A$2:$A$500,"&lt;="&amp;"2024-12-31",Causal_Event_Ledger!$H$2:$H$500,"flight_data_processing")</f>
        <v/>
      </c>
      <c r="E10" s="11">
        <f>COUNTIFS(Causal_Event_Ledger!$A$2:$A$500,"&gt;="&amp;"2024-01-01",Causal_Event_Ledger!$A$2:$A$500,"&lt;="&amp;"2024-12-31",Causal_Event_Ledger!$G$2:$G$500,"datalink_cpdlc")+COUNTIFS(Causal_Event_Ledger!$A$2:$A$500,"&gt;="&amp;"2024-01-01",Causal_Event_Ledger!$A$2:$A$500,"&lt;="&amp;"2024-12-31",Causal_Event_Ledger!$H$2:$H$500,"datalink_cpdlc")</f>
        <v/>
      </c>
      <c r="F10" s="11">
        <f>COUNTIFS(Causal_Event_Ledger!$A$2:$A$500,"&gt;="&amp;"2024-01-01",Causal_Event_Ledger!$A$2:$A$500,"&lt;="&amp;"2024-12-31",Causal_Event_Ledger!$G$2:$G$500,"network_connectivity")+COUNTIFS(Causal_Event_Ledger!$A$2:$A$500,"&gt;="&amp;"2024-01-01",Causal_Event_Ledger!$A$2:$A$500,"&lt;="&amp;"2024-12-31",Causal_Event_Ledger!$H$2:$H$500,"network_connectivity")</f>
        <v/>
      </c>
      <c r="G10" s="11">
        <f>COUNTIFS(Causal_Event_Ledger!$A$2:$A$500,"&gt;="&amp;"2024-01-01",Causal_Event_Ledger!$A$2:$A$500,"&lt;="&amp;"2024-12-31",Causal_Event_Ledger!$G$2:$G$500,"power_failure")+COUNTIFS(Causal_Event_Ledger!$A$2:$A$500,"&gt;="&amp;"2024-01-01",Causal_Event_Ledger!$A$2:$A$500,"&lt;="&amp;"2024-12-31",Causal_Event_Ledger!$H$2:$H$500,"power_failure")</f>
        <v/>
      </c>
      <c r="H10" s="11">
        <f>COUNTIFS(Causal_Event_Ledger!$A$2:$A$500,"&gt;="&amp;"2024-01-01",Causal_Event_Ledger!$A$2:$A$500,"&lt;="&amp;"2024-12-31",Causal_Event_Ledger!$G$2:$G$500,"hardware_failure")+COUNTIFS(Causal_Event_Ledger!$A$2:$A$500,"&gt;="&amp;"2024-01-01",Causal_Event_Ledger!$A$2:$A$500,"&lt;="&amp;"2024-12-31",Causal_Event_Ledger!$H$2:$H$500,"hardware_failure")</f>
        <v/>
      </c>
      <c r="I10" s="11">
        <f>COUNTIFS(Causal_Event_Ledger!$A$2:$A$500,"&gt;="&amp;"2024-01-01",Causal_Event_Ledger!$A$2:$A$500,"&lt;="&amp;"2024-12-31",Causal_Event_Ledger!$G$2:$G$500,"software_failure")+COUNTIFS(Causal_Event_Ledger!$A$2:$A$500,"&gt;="&amp;"2024-01-01",Causal_Event_Ledger!$A$2:$A$500,"&lt;="&amp;"2024-12-31",Causal_Event_Ledger!$H$2:$H$500,"software_failure")</f>
        <v/>
      </c>
      <c r="J10" s="11">
        <f>COUNTIFS(Causal_Event_Ledger!$A$2:$A$500,"&gt;="&amp;"2024-01-01",Causal_Event_Ledger!$A$2:$A$500,"&lt;="&amp;"2024-12-31",Causal_Event_Ledger!$G$2:$G$500,"gnss_jamming")+COUNTIFS(Causal_Event_Ledger!$A$2:$A$500,"&gt;="&amp;"2024-01-01",Causal_Event_Ledger!$A$2:$A$500,"&lt;="&amp;"2024-12-31",Causal_Event_Ledger!$H$2:$H$500,"gnss_jamming")</f>
        <v/>
      </c>
      <c r="K10" s="11">
        <f>COUNTIFS(Causal_Event_Ledger!$A$2:$A$500,"&gt;="&amp;"2024-01-01",Causal_Event_Ledger!$A$2:$A$500,"&lt;="&amp;"2024-12-31",Causal_Event_Ledger!$G$2:$G$500,"gnss_spoofing")+COUNTIFS(Causal_Event_Ledger!$A$2:$A$500,"&gt;="&amp;"2024-01-01",Causal_Event_Ledger!$A$2:$A$500,"&lt;="&amp;"2024-12-31",Causal_Event_Ledger!$H$2:$H$500,"gnss_spoofing")</f>
        <v/>
      </c>
      <c r="L10" s="11">
        <f>COUNTIFS(Causal_Event_Ledger!$A$2:$A$500,"&gt;="&amp;"2024-01-01",Causal_Event_Ledger!$A$2:$A$500,"&lt;="&amp;"2024-12-31",Causal_Event_Ledger!$G$2:$G$500,"unknown_investigation")+COUNTIFS(Causal_Event_Ledger!$A$2:$A$500,"&gt;="&amp;"2024-01-01",Causal_Event_Ledger!$A$2:$A$500,"&lt;="&amp;"2024-12-31",Causal_Event_Ledger!$H$2:$H$500,"unknown_investigation")</f>
        <v/>
      </c>
      <c r="M10" s="11">
        <f>COUNTIFS(Causal_Event_Ledger!$A$2:$A$500,"&gt;="&amp;"2024-01-01",Causal_Event_Ledger!$A$2:$A$500,"&lt;="&amp;"2024-12-31")</f>
        <v/>
      </c>
    </row>
    <row r="11">
      <c r="A11" s="11" t="n">
        <v>2025</v>
      </c>
      <c r="B11" s="11">
        <f>COUNTIFS(Causal_Event_Ledger!$A$2:$A$500,"&gt;="&amp;"2025-01-01",Causal_Event_Ledger!$A$2:$A$500,"&lt;="&amp;"2025-12-31",Causal_Event_Ledger!$G$2:$G$500,"comms_failure")+COUNTIFS(Causal_Event_Ledger!$A$2:$A$500,"&gt;="&amp;"2025-01-01",Causal_Event_Ledger!$A$2:$A$500,"&lt;="&amp;"2025-12-31",Causal_Event_Ledger!$H$2:$H$500,"comms_failure")</f>
        <v/>
      </c>
      <c r="C11" s="11">
        <f>COUNTIFS(Causal_Event_Ledger!$A$2:$A$500,"&gt;="&amp;"2025-01-01",Causal_Event_Ledger!$A$2:$A$500,"&lt;="&amp;"2025-12-31",Causal_Event_Ledger!$G$2:$G$500,"surveillance_failure")+COUNTIFS(Causal_Event_Ledger!$A$2:$A$500,"&gt;="&amp;"2025-01-01",Causal_Event_Ledger!$A$2:$A$500,"&lt;="&amp;"2025-12-31",Causal_Event_Ledger!$H$2:$H$500,"surveillance_failure")</f>
        <v/>
      </c>
      <c r="D11" s="11">
        <f>COUNTIFS(Causal_Event_Ledger!$A$2:$A$500,"&gt;="&amp;"2025-01-01",Causal_Event_Ledger!$A$2:$A$500,"&lt;="&amp;"2025-12-31",Causal_Event_Ledger!$G$2:$G$500,"flight_data_processing")+COUNTIFS(Causal_Event_Ledger!$A$2:$A$500,"&gt;="&amp;"2025-01-01",Causal_Event_Ledger!$A$2:$A$500,"&lt;="&amp;"2025-12-31",Causal_Event_Ledger!$H$2:$H$500,"flight_data_processing")</f>
        <v/>
      </c>
      <c r="E11" s="11">
        <f>COUNTIFS(Causal_Event_Ledger!$A$2:$A$500,"&gt;="&amp;"2025-01-01",Causal_Event_Ledger!$A$2:$A$500,"&lt;="&amp;"2025-12-31",Causal_Event_Ledger!$G$2:$G$500,"datalink_cpdlc")+COUNTIFS(Causal_Event_Ledger!$A$2:$A$500,"&gt;="&amp;"2025-01-01",Causal_Event_Ledger!$A$2:$A$500,"&lt;="&amp;"2025-12-31",Causal_Event_Ledger!$H$2:$H$500,"datalink_cpdlc")</f>
        <v/>
      </c>
      <c r="F11" s="11">
        <f>COUNTIFS(Causal_Event_Ledger!$A$2:$A$500,"&gt;="&amp;"2025-01-01",Causal_Event_Ledger!$A$2:$A$500,"&lt;="&amp;"2025-12-31",Causal_Event_Ledger!$G$2:$G$500,"network_connectivity")+COUNTIFS(Causal_Event_Ledger!$A$2:$A$500,"&gt;="&amp;"2025-01-01",Causal_Event_Ledger!$A$2:$A$500,"&lt;="&amp;"2025-12-31",Causal_Event_Ledger!$H$2:$H$500,"network_connectivity")</f>
        <v/>
      </c>
      <c r="G11" s="11">
        <f>COUNTIFS(Causal_Event_Ledger!$A$2:$A$500,"&gt;="&amp;"2025-01-01",Causal_Event_Ledger!$A$2:$A$500,"&lt;="&amp;"2025-12-31",Causal_Event_Ledger!$G$2:$G$500,"power_failure")+COUNTIFS(Causal_Event_Ledger!$A$2:$A$500,"&gt;="&amp;"2025-01-01",Causal_Event_Ledger!$A$2:$A$500,"&lt;="&amp;"2025-12-31",Causal_Event_Ledger!$H$2:$H$500,"power_failure")</f>
        <v/>
      </c>
      <c r="H11" s="11">
        <f>COUNTIFS(Causal_Event_Ledger!$A$2:$A$500,"&gt;="&amp;"2025-01-01",Causal_Event_Ledger!$A$2:$A$500,"&lt;="&amp;"2025-12-31",Causal_Event_Ledger!$G$2:$G$500,"hardware_failure")+COUNTIFS(Causal_Event_Ledger!$A$2:$A$500,"&gt;="&amp;"2025-01-01",Causal_Event_Ledger!$A$2:$A$500,"&lt;="&amp;"2025-12-31",Causal_Event_Ledger!$H$2:$H$500,"hardware_failure")</f>
        <v/>
      </c>
      <c r="I11" s="11">
        <f>COUNTIFS(Causal_Event_Ledger!$A$2:$A$500,"&gt;="&amp;"2025-01-01",Causal_Event_Ledger!$A$2:$A$500,"&lt;="&amp;"2025-12-31",Causal_Event_Ledger!$G$2:$G$500,"software_failure")+COUNTIFS(Causal_Event_Ledger!$A$2:$A$500,"&gt;="&amp;"2025-01-01",Causal_Event_Ledger!$A$2:$A$500,"&lt;="&amp;"2025-12-31",Causal_Event_Ledger!$H$2:$H$500,"software_failure")</f>
        <v/>
      </c>
      <c r="J11" s="11">
        <f>COUNTIFS(Causal_Event_Ledger!$A$2:$A$500,"&gt;="&amp;"2025-01-01",Causal_Event_Ledger!$A$2:$A$500,"&lt;="&amp;"2025-12-31",Causal_Event_Ledger!$G$2:$G$500,"gnss_jamming")+COUNTIFS(Causal_Event_Ledger!$A$2:$A$500,"&gt;="&amp;"2025-01-01",Causal_Event_Ledger!$A$2:$A$500,"&lt;="&amp;"2025-12-31",Causal_Event_Ledger!$H$2:$H$500,"gnss_jamming")</f>
        <v/>
      </c>
      <c r="K11" s="11">
        <f>COUNTIFS(Causal_Event_Ledger!$A$2:$A$500,"&gt;="&amp;"2025-01-01",Causal_Event_Ledger!$A$2:$A$500,"&lt;="&amp;"2025-12-31",Causal_Event_Ledger!$G$2:$G$500,"gnss_spoofing")+COUNTIFS(Causal_Event_Ledger!$A$2:$A$500,"&gt;="&amp;"2025-01-01",Causal_Event_Ledger!$A$2:$A$500,"&lt;="&amp;"2025-12-31",Causal_Event_Ledger!$H$2:$H$500,"gnss_spoofing")</f>
        <v/>
      </c>
      <c r="L11" s="11">
        <f>COUNTIFS(Causal_Event_Ledger!$A$2:$A$500,"&gt;="&amp;"2025-01-01",Causal_Event_Ledger!$A$2:$A$500,"&lt;="&amp;"2025-12-31",Causal_Event_Ledger!$G$2:$G$500,"unknown_investigation")+COUNTIFS(Causal_Event_Ledger!$A$2:$A$500,"&gt;="&amp;"2025-01-01",Causal_Event_Ledger!$A$2:$A$500,"&lt;="&amp;"2025-12-31",Causal_Event_Ledger!$H$2:$H$500,"unknown_investigation")</f>
        <v/>
      </c>
      <c r="M11" s="11">
        <f>COUNTIFS(Causal_Event_Ledger!$A$2:$A$500,"&gt;="&amp;"2025-01-01",Causal_Event_Ledger!$A$2:$A$500,"&lt;="&amp;"2025-12-31")</f>
        <v/>
      </c>
    </row>
    <row r="12">
      <c r="A12" s="11" t="n">
        <v>2026</v>
      </c>
      <c r="B12" s="11">
        <f>COUNTIFS(Causal_Event_Ledger!$A$2:$A$500,"&gt;="&amp;"2026-01-01",Causal_Event_Ledger!$A$2:$A$500,"&lt;="&amp;"2026-12-31",Causal_Event_Ledger!$G$2:$G$500,"comms_failure")+COUNTIFS(Causal_Event_Ledger!$A$2:$A$500,"&gt;="&amp;"2026-01-01",Causal_Event_Ledger!$A$2:$A$500,"&lt;="&amp;"2026-12-31",Causal_Event_Ledger!$H$2:$H$500,"comms_failure")</f>
        <v/>
      </c>
      <c r="C12" s="11">
        <f>COUNTIFS(Causal_Event_Ledger!$A$2:$A$500,"&gt;="&amp;"2026-01-01",Causal_Event_Ledger!$A$2:$A$500,"&lt;="&amp;"2026-12-31",Causal_Event_Ledger!$G$2:$G$500,"surveillance_failure")+COUNTIFS(Causal_Event_Ledger!$A$2:$A$500,"&gt;="&amp;"2026-01-01",Causal_Event_Ledger!$A$2:$A$500,"&lt;="&amp;"2026-12-31",Causal_Event_Ledger!$H$2:$H$500,"surveillance_failure")</f>
        <v/>
      </c>
      <c r="D12" s="11">
        <f>COUNTIFS(Causal_Event_Ledger!$A$2:$A$500,"&gt;="&amp;"2026-01-01",Causal_Event_Ledger!$A$2:$A$500,"&lt;="&amp;"2026-12-31",Causal_Event_Ledger!$G$2:$G$500,"flight_data_processing")+COUNTIFS(Causal_Event_Ledger!$A$2:$A$500,"&gt;="&amp;"2026-01-01",Causal_Event_Ledger!$A$2:$A$500,"&lt;="&amp;"2026-12-31",Causal_Event_Ledger!$H$2:$H$500,"flight_data_processing")</f>
        <v/>
      </c>
      <c r="E12" s="11">
        <f>COUNTIFS(Causal_Event_Ledger!$A$2:$A$500,"&gt;="&amp;"2026-01-01",Causal_Event_Ledger!$A$2:$A$500,"&lt;="&amp;"2026-12-31",Causal_Event_Ledger!$G$2:$G$500,"datalink_cpdlc")+COUNTIFS(Causal_Event_Ledger!$A$2:$A$500,"&gt;="&amp;"2026-01-01",Causal_Event_Ledger!$A$2:$A$500,"&lt;="&amp;"2026-12-31",Causal_Event_Ledger!$H$2:$H$500,"datalink_cpdlc")</f>
        <v/>
      </c>
      <c r="F12" s="11">
        <f>COUNTIFS(Causal_Event_Ledger!$A$2:$A$500,"&gt;="&amp;"2026-01-01",Causal_Event_Ledger!$A$2:$A$500,"&lt;="&amp;"2026-12-31",Causal_Event_Ledger!$G$2:$G$500,"network_connectivity")+COUNTIFS(Causal_Event_Ledger!$A$2:$A$500,"&gt;="&amp;"2026-01-01",Causal_Event_Ledger!$A$2:$A$500,"&lt;="&amp;"2026-12-31",Causal_Event_Ledger!$H$2:$H$500,"network_connectivity")</f>
        <v/>
      </c>
      <c r="G12" s="11">
        <f>COUNTIFS(Causal_Event_Ledger!$A$2:$A$500,"&gt;="&amp;"2026-01-01",Causal_Event_Ledger!$A$2:$A$500,"&lt;="&amp;"2026-12-31",Causal_Event_Ledger!$G$2:$G$500,"power_failure")+COUNTIFS(Causal_Event_Ledger!$A$2:$A$500,"&gt;="&amp;"2026-01-01",Causal_Event_Ledger!$A$2:$A$500,"&lt;="&amp;"2026-12-31",Causal_Event_Ledger!$H$2:$H$500,"power_failure")</f>
        <v/>
      </c>
      <c r="H12" s="11">
        <f>COUNTIFS(Causal_Event_Ledger!$A$2:$A$500,"&gt;="&amp;"2026-01-01",Causal_Event_Ledger!$A$2:$A$500,"&lt;="&amp;"2026-12-31",Causal_Event_Ledger!$G$2:$G$500,"hardware_failure")+COUNTIFS(Causal_Event_Ledger!$A$2:$A$500,"&gt;="&amp;"2026-01-01",Causal_Event_Ledger!$A$2:$A$500,"&lt;="&amp;"2026-12-31",Causal_Event_Ledger!$H$2:$H$500,"hardware_failure")</f>
        <v/>
      </c>
      <c r="I12" s="11">
        <f>COUNTIFS(Causal_Event_Ledger!$A$2:$A$500,"&gt;="&amp;"2026-01-01",Causal_Event_Ledger!$A$2:$A$500,"&lt;="&amp;"2026-12-31",Causal_Event_Ledger!$G$2:$G$500,"software_failure")+COUNTIFS(Causal_Event_Ledger!$A$2:$A$500,"&gt;="&amp;"2026-01-01",Causal_Event_Ledger!$A$2:$A$500,"&lt;="&amp;"2026-12-31",Causal_Event_Ledger!$H$2:$H$500,"software_failure")</f>
        <v/>
      </c>
      <c r="J12" s="11">
        <f>COUNTIFS(Causal_Event_Ledger!$A$2:$A$500,"&gt;="&amp;"2026-01-01",Causal_Event_Ledger!$A$2:$A$500,"&lt;="&amp;"2026-12-31",Causal_Event_Ledger!$G$2:$G$500,"gnss_jamming")+COUNTIFS(Causal_Event_Ledger!$A$2:$A$500,"&gt;="&amp;"2026-01-01",Causal_Event_Ledger!$A$2:$A$500,"&lt;="&amp;"2026-12-31",Causal_Event_Ledger!$H$2:$H$500,"gnss_jamming")</f>
        <v/>
      </c>
      <c r="K12" s="11">
        <f>COUNTIFS(Causal_Event_Ledger!$A$2:$A$500,"&gt;="&amp;"2026-01-01",Causal_Event_Ledger!$A$2:$A$500,"&lt;="&amp;"2026-12-31",Causal_Event_Ledger!$G$2:$G$500,"gnss_spoofing")+COUNTIFS(Causal_Event_Ledger!$A$2:$A$500,"&gt;="&amp;"2026-01-01",Causal_Event_Ledger!$A$2:$A$500,"&lt;="&amp;"2026-12-31",Causal_Event_Ledger!$H$2:$H$500,"gnss_spoofing")</f>
        <v/>
      </c>
      <c r="L12" s="11">
        <f>COUNTIFS(Causal_Event_Ledger!$A$2:$A$500,"&gt;="&amp;"2026-01-01",Causal_Event_Ledger!$A$2:$A$500,"&lt;="&amp;"2026-12-31",Causal_Event_Ledger!$G$2:$G$500,"unknown_investigation")+COUNTIFS(Causal_Event_Ledger!$A$2:$A$500,"&gt;="&amp;"2026-01-01",Causal_Event_Ledger!$A$2:$A$500,"&lt;="&amp;"2026-12-31",Causal_Event_Ledger!$H$2:$H$500,"unknown_investigation")</f>
        <v/>
      </c>
      <c r="M12" s="11">
        <f>COUNTIFS(Causal_Event_Ledger!$A$2:$A$500,"&gt;="&amp;"2026-01-01",Causal_Event_Ledger!$A$2:$A$500,"&lt;="&amp;"2026-12-31")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4" customWidth="1" style="22" min="1" max="1"/>
    <col width="18" customWidth="1" style="22" min="2" max="2"/>
    <col width="24" customWidth="1" style="22" min="3" max="3"/>
    <col width="28" customWidth="1" style="22" min="4" max="4"/>
    <col width="22" customWidth="1" style="22" min="5" max="5"/>
    <col width="12" customWidth="1" style="22" min="6" max="6"/>
    <col width="22" customWidth="1" style="22" min="7" max="7"/>
    <col width="58" customWidth="1" style="22" min="8" max="8"/>
    <col width="26" customWidth="1" style="22" min="9" max="9"/>
    <col width="22" customWidth="1" style="22" min="10" max="10"/>
    <col width="24" customWidth="1" style="22" min="11" max="11"/>
    <col width="22" customWidth="1" style="22" min="12" max="12"/>
    <col width="30" customWidth="1" style="22" min="13" max="13"/>
    <col width="44" customWidth="1" style="22" min="14" max="14"/>
    <col width="55" customWidth="1" style="22" min="15" max="15"/>
    <col width="28" customWidth="1" style="22" min="16" max="16"/>
  </cols>
  <sheetData>
    <row r="1">
      <c r="A1" s="36" t="inlineStr">
        <is>
          <t>Date</t>
        </is>
      </c>
      <c r="B1" s="36" t="inlineStr">
        <is>
          <t>Country</t>
        </is>
      </c>
      <c r="C1" s="36" t="inlineStr">
        <is>
          <t>Service/operator</t>
        </is>
      </c>
      <c r="D1" s="36" t="inlineStr">
        <is>
          <t>Aircraft</t>
        </is>
      </c>
      <c r="E1" s="36" t="inlineStr">
        <is>
          <t>Event type</t>
        </is>
      </c>
      <c r="F1" s="36" t="inlineStr">
        <is>
          <t>Fatalities</t>
        </is>
      </c>
      <c r="G1" s="36" t="inlineStr">
        <is>
          <t>Aircraft lost/damaged</t>
        </is>
      </c>
      <c r="H1" s="36" t="inlineStr">
        <is>
          <t>Official cause / causal factor</t>
        </is>
      </c>
      <c r="I1" s="36" t="inlineStr">
        <is>
          <t>Cause code</t>
        </is>
      </c>
      <c r="J1" s="36" t="inlineStr">
        <is>
          <t>Cause confidence</t>
        </is>
      </c>
      <c r="K1" s="36" t="inlineStr">
        <is>
          <t>Digital relevance</t>
        </is>
      </c>
      <c r="L1" s="36" t="inlineStr">
        <is>
          <t>Hostile/fire relevance</t>
        </is>
      </c>
      <c r="M1" s="36" t="inlineStr">
        <is>
          <t>Investigation/source status</t>
        </is>
      </c>
      <c r="N1" s="36" t="inlineStr">
        <is>
          <t>Why retained</t>
        </is>
      </c>
      <c r="O1" s="36" t="inlineStr">
        <is>
          <t>Official source URL</t>
        </is>
      </c>
      <c r="P1" s="36" t="inlineStr">
        <is>
          <t>Coverage note</t>
        </is>
      </c>
    </row>
    <row r="2">
      <c r="A2" s="11" t="inlineStr">
        <is>
          <t>2016-07-08</t>
        </is>
      </c>
      <c r="B2" s="11" t="inlineStr">
        <is>
          <t>United Kingdom</t>
        </is>
      </c>
      <c r="C2" s="11" t="inlineStr">
        <is>
          <t>MOD / test activity</t>
        </is>
      </c>
      <c r="D2" s="11" t="inlineStr">
        <is>
          <t>Yak-52 G-YAKB</t>
        </is>
      </c>
      <c r="E2" s="11" t="inlineStr">
        <is>
          <t>air accident</t>
        </is>
      </c>
      <c r="F2" s="11" t="n"/>
      <c r="G2" s="11" t="inlineStr">
        <is>
          <t>accident</t>
        </is>
      </c>
      <c r="H2" s="11" t="inlineStr">
        <is>
          <t>Official Service Inquiry completed; causal-factor extraction still required from full report</t>
        </is>
      </c>
      <c r="I2" s="11" t="inlineStr">
        <is>
          <t>unknown_investigation</t>
        </is>
      </c>
      <c r="J2" s="11" t="inlineStr">
        <is>
          <t>official final report</t>
        </is>
      </c>
      <c r="K2" s="11" t="inlineStr">
        <is>
          <t>no evidence either way</t>
        </is>
      </c>
      <c r="L2" s="11" t="inlineStr">
        <is>
          <t>non-hostile</t>
        </is>
      </c>
      <c r="M2" s="11" t="inlineStr">
        <is>
          <t>Final Service Inquiry published 15 Jun 2017</t>
        </is>
      </c>
      <c r="N2" s="11" t="inlineStr">
        <is>
          <t>Official military inquiry inside baseline period</t>
        </is>
      </c>
      <c r="O2" s="11" t="inlineStr">
        <is>
          <t>https://www.gov.uk/government/publications/service-inquiry-into-the-aircraft-accident-involving-yak52-g-yakb-on-8-july-2016</t>
        </is>
      </c>
      <c r="P2" s="11" t="inlineStr">
        <is>
          <t>UK seed; not yet NATO-wide</t>
        </is>
      </c>
    </row>
    <row r="3">
      <c r="A3" s="11" t="inlineStr">
        <is>
          <t>2016-08-09</t>
        </is>
      </c>
      <c r="B3" s="11" t="inlineStr">
        <is>
          <t>United Kingdom</t>
        </is>
      </c>
      <c r="C3" s="11" t="inlineStr">
        <is>
          <t>RAF</t>
        </is>
      </c>
      <c r="D3" s="11" t="inlineStr">
        <is>
          <t>Griffin Mk1 ZJ241</t>
        </is>
      </c>
      <c r="E3" s="11" t="inlineStr">
        <is>
          <t>helicopter accident</t>
        </is>
      </c>
      <c r="F3" s="11" t="n"/>
      <c r="G3" s="11" t="inlineStr">
        <is>
          <t>accident</t>
        </is>
      </c>
      <c r="H3" s="11" t="inlineStr">
        <is>
          <t>Official Service Inquiry completed; causal-factor extraction still required from full report</t>
        </is>
      </c>
      <c r="I3" s="11" t="inlineStr">
        <is>
          <t>unknown_investigation</t>
        </is>
      </c>
      <c r="J3" s="11" t="inlineStr">
        <is>
          <t>official final report</t>
        </is>
      </c>
      <c r="K3" s="11" t="inlineStr">
        <is>
          <t>no evidence either way</t>
        </is>
      </c>
      <c r="L3" s="11" t="inlineStr">
        <is>
          <t>non-hostile</t>
        </is>
      </c>
      <c r="M3" s="11" t="inlineStr">
        <is>
          <t>Final Service Inquiry published 16 Aug 2018</t>
        </is>
      </c>
      <c r="N3" s="11" t="inlineStr">
        <is>
          <t>Official helicopter accident comparator</t>
        </is>
      </c>
      <c r="O3" s="11" t="inlineStr">
        <is>
          <t>https://www.gov.uk/government/publications/service-inquiry-into-the-accident-involving-a-griffin-mk1-zj241-at-yr-aran-snowdonia-wales</t>
        </is>
      </c>
      <c r="P3" s="11" t="inlineStr">
        <is>
          <t>UK seed; not yet NATO-wide</t>
        </is>
      </c>
    </row>
    <row r="4">
      <c r="A4" s="11" t="inlineStr">
        <is>
          <t>2017-08-25</t>
        </is>
      </c>
      <c r="B4" s="11" t="inlineStr">
        <is>
          <t>United Kingdom</t>
        </is>
      </c>
      <c r="C4" s="11" t="inlineStr">
        <is>
          <t>RAF</t>
        </is>
      </c>
      <c r="D4" s="11" t="inlineStr">
        <is>
          <t>Hercules C-130J Mk4 ZH873</t>
        </is>
      </c>
      <c r="E4" s="11" t="inlineStr">
        <is>
          <t>heavy landing</t>
        </is>
      </c>
      <c r="F4" s="11" t="n">
        <v>0</v>
      </c>
      <c r="G4" s="11" t="inlineStr">
        <is>
          <t>serious damage</t>
        </is>
      </c>
      <c r="H4" s="11" t="inlineStr">
        <is>
          <t>Official Service Inquiry completed; root-cause coding requires report extraction</t>
        </is>
      </c>
      <c r="I4" s="11" t="inlineStr">
        <is>
          <t>unknown_investigation</t>
        </is>
      </c>
      <c r="J4" s="11" t="inlineStr">
        <is>
          <t>official final report</t>
        </is>
      </c>
      <c r="K4" s="11" t="inlineStr">
        <is>
          <t>no evidence either way</t>
        </is>
      </c>
      <c r="L4" s="11" t="inlineStr">
        <is>
          <t>non-hostile</t>
        </is>
      </c>
      <c r="M4" s="11" t="inlineStr">
        <is>
          <t>Final Service Inquiry published 21 May 2019</t>
        </is>
      </c>
      <c r="N4" s="11" t="inlineStr">
        <is>
          <t>Heavy-landing/airframe-loss comparator</t>
        </is>
      </c>
      <c r="O4" s="11" t="inlineStr">
        <is>
          <t>https://www.gov.uk/government/publications/service-inquiry-into-the-accident-involving-a-hercules-c-130j-mk4-zh873-heaving-land-incident-on-25-august-2017</t>
        </is>
      </c>
      <c r="P4" s="11" t="inlineStr">
        <is>
          <t>UK seed; not yet NATO-wide</t>
        </is>
      </c>
    </row>
    <row r="5">
      <c r="A5" s="11" t="inlineStr">
        <is>
          <t>2018-03-20</t>
        </is>
      </c>
      <c r="B5" s="11" t="inlineStr">
        <is>
          <t>United Kingdom</t>
        </is>
      </c>
      <c r="C5" s="11" t="inlineStr">
        <is>
          <t>RAF / Red Arrows</t>
        </is>
      </c>
      <c r="D5" s="11" t="inlineStr">
        <is>
          <t>Hawk T Mk1A XX204</t>
        </is>
      </c>
      <c r="E5" s="11" t="inlineStr">
        <is>
          <t>crash</t>
        </is>
      </c>
      <c r="F5" s="11" t="n">
        <v>1</v>
      </c>
      <c r="G5" s="11" t="inlineStr">
        <is>
          <t>aircraft lost</t>
        </is>
      </c>
      <c r="H5" s="11" t="inlineStr">
        <is>
          <t>Official Service Inquiry completed; public announcement initially stated cause should not be speculated upon</t>
        </is>
      </c>
      <c r="I5" s="11" t="inlineStr">
        <is>
          <t>unknown_investigation</t>
        </is>
      </c>
      <c r="J5" s="11" t="inlineStr">
        <is>
          <t>official final report</t>
        </is>
      </c>
      <c r="K5" s="11" t="inlineStr">
        <is>
          <t>no evidence either way</t>
        </is>
      </c>
      <c r="L5" s="11" t="inlineStr">
        <is>
          <t>non-hostile</t>
        </is>
      </c>
      <c r="M5" s="11" t="inlineStr">
        <is>
          <t>Final Service Inquiry published 10 Oct 2019</t>
        </is>
      </c>
      <c r="N5" s="11" t="inlineStr">
        <is>
          <t>Fatal non-hostile military aircraft-loss comparator</t>
        </is>
      </c>
      <c r="O5" s="11" t="inlineStr">
        <is>
          <t>https://www.gov.uk/government/publications/service-inquiry-into-the-accident-involving-hawk-t-mk1a-xx204-on-20-march-2018</t>
        </is>
      </c>
      <c r="P5" s="11" t="inlineStr">
        <is>
          <t>UK seed; one fatality confirmed by MOD</t>
        </is>
      </c>
    </row>
    <row r="6">
      <c r="A6" s="11" t="inlineStr">
        <is>
          <t>2021-09-02</t>
        </is>
      </c>
      <c r="B6" s="11" t="inlineStr">
        <is>
          <t>United Kingdom</t>
        </is>
      </c>
      <c r="C6" s="11" t="inlineStr">
        <is>
          <t>RAF</t>
        </is>
      </c>
      <c r="D6" s="11" t="inlineStr">
        <is>
          <t>Parachute training operation</t>
        </is>
      </c>
      <c r="E6" s="11" t="inlineStr">
        <is>
          <t>parachuting fatality</t>
        </is>
      </c>
      <c r="F6" s="11" t="n">
        <v>1</v>
      </c>
      <c r="G6" s="11" t="inlineStr">
        <is>
          <t>not aircraft loss</t>
        </is>
      </c>
      <c r="H6" s="11" t="inlineStr">
        <is>
          <t>DSA annual assurance report: turbulent wake from freefall position and malformed reserve pilot chute were causal factors</t>
        </is>
      </c>
      <c r="I6" s="11" t="inlineStr">
        <is>
          <t>human_factors</t>
        </is>
      </c>
      <c r="J6" s="11" t="inlineStr">
        <is>
          <t>official final finding</t>
        </is>
      </c>
      <c r="K6" s="11" t="inlineStr">
        <is>
          <t>not applicable</t>
        </is>
      </c>
      <c r="L6" s="11" t="inlineStr">
        <is>
          <t>non-hostile</t>
        </is>
      </c>
      <c r="M6" s="11" t="inlineStr">
        <is>
          <t>Final Service Inquiry published 22 Jun 2023</t>
        </is>
      </c>
      <c r="N6" s="11" t="inlineStr">
        <is>
          <t>Air-safety adjacent control; kept but flagged as not aircraft loss</t>
        </is>
      </c>
      <c r="O6" s="11" t="inlineStr">
        <is>
          <t>https://www.gov.uk/government/publications/investigation-into-the-fatality-of-a-royal-air-force-parachute-instructor-at-raf-weston-on-the-green-on-2-september-2021</t>
        </is>
      </c>
      <c r="P6" s="11" t="inlineStr">
        <is>
          <t>Exclude from aircraft-loss numerator</t>
        </is>
      </c>
    </row>
    <row r="7">
      <c r="A7" s="11" t="inlineStr">
        <is>
          <t>2021-11-17</t>
        </is>
      </c>
      <c r="B7" s="11" t="inlineStr">
        <is>
          <t>United Kingdom</t>
        </is>
      </c>
      <c r="C7" s="11" t="inlineStr">
        <is>
          <t>RAF / 617 Sqn</t>
        </is>
      </c>
      <c r="D7" s="11" t="inlineStr">
        <is>
          <t>F-35B Lightning ZM152</t>
        </is>
      </c>
      <c r="E7" s="11" t="inlineStr">
        <is>
          <t>carrier launch loss</t>
        </is>
      </c>
      <c r="F7" s="11" t="n">
        <v>0</v>
      </c>
      <c r="G7" s="11" t="inlineStr">
        <is>
          <t>aircraft lost</t>
        </is>
      </c>
      <c r="H7" s="11" t="inlineStr">
        <is>
          <t>DSA annual assurance report: an intake blank at the front face of the engine compressor during launch was the causal factor</t>
        </is>
      </c>
      <c r="I7" s="11" t="inlineStr">
        <is>
          <t>structural_mechanical</t>
        </is>
      </c>
      <c r="J7" s="11" t="inlineStr">
        <is>
          <t>official final finding</t>
        </is>
      </c>
      <c r="K7" s="11" t="inlineStr">
        <is>
          <t>not applicable</t>
        </is>
      </c>
      <c r="L7" s="11" t="inlineStr">
        <is>
          <t>non-hostile</t>
        </is>
      </c>
      <c r="M7" s="11" t="inlineStr">
        <is>
          <t>Final Service Inquiry published 10 Aug 2023</t>
        </is>
      </c>
      <c r="N7" s="11" t="inlineStr">
        <is>
          <t>High-value aircraft loss with clear conventional cause</t>
        </is>
      </c>
      <c r="O7" s="11" t="inlineStr">
        <is>
          <t>https://www.gov.uk/government/publications/service-inquiry-into-the-loss-of-f-35b-lightning-zm152-bk-18</t>
        </is>
      </c>
      <c r="P7" s="11" t="inlineStr">
        <is>
          <t>Strong control against treating every unexplained-looking loss as digital</t>
        </is>
      </c>
    </row>
    <row r="8">
      <c r="A8" s="11" t="inlineStr">
        <is>
          <t>2024-09-04</t>
        </is>
      </c>
      <c r="B8" s="11" t="inlineStr">
        <is>
          <t>United Kingdom</t>
        </is>
      </c>
      <c r="C8" s="11" t="inlineStr">
        <is>
          <t>Royal Navy / HMS Queen Elizabeth</t>
        </is>
      </c>
      <c r="D8" s="11" t="inlineStr">
        <is>
          <t>air accident during carrier operations</t>
        </is>
      </c>
      <c r="E8" s="11" t="inlineStr">
        <is>
          <t>air accident</t>
        </is>
      </c>
      <c r="F8" s="11" t="n">
        <v>1</v>
      </c>
      <c r="G8" s="11" t="inlineStr">
        <is>
          <t>under investigation/final report now published</t>
        </is>
      </c>
      <c r="H8" s="11" t="inlineStr">
        <is>
          <t>Final Service Inquiry published 11 Sep 2026; detailed causal-factor extraction required</t>
        </is>
      </c>
      <c r="I8" s="11" t="inlineStr">
        <is>
          <t>unknown_investigation</t>
        </is>
      </c>
      <c r="J8" s="11" t="inlineStr">
        <is>
          <t>official final report</t>
        </is>
      </c>
      <c r="K8" s="11" t="inlineStr">
        <is>
          <t>no evidence either way</t>
        </is>
      </c>
      <c r="L8" s="11" t="inlineStr">
        <is>
          <t>non-hostile</t>
        </is>
      </c>
      <c r="M8" s="11" t="inlineStr">
        <is>
          <t>Final Service Inquiry available</t>
        </is>
      </c>
      <c r="N8" s="11" t="inlineStr">
        <is>
          <t>Recent pre-Iran-war fatal military aviation comparator</t>
        </is>
      </c>
      <c r="O8" s="11" t="inlineStr">
        <is>
          <t>https://www.gov.uk/government/publications/service-inquiry-into-the-death-of-a-service-person-in-an-air-accident-while-operating-with-hms-queen-elizabeth-on-4-september-2024</t>
        </is>
      </c>
      <c r="P8" s="11" t="inlineStr">
        <is>
          <t>Critical report to extract next</t>
        </is>
      </c>
    </row>
    <row r="9">
      <c r="A9" t="inlineStr">
        <is>
          <t>2016-06-02</t>
        </is>
      </c>
      <c r="B9" t="inlineStr">
        <is>
          <t>United States</t>
        </is>
      </c>
      <c r="C9" t="inlineStr">
        <is>
          <t>US Navy / Blue Angels</t>
        </is>
      </c>
      <c r="D9" t="inlineStr">
        <is>
          <t>F/A-18C Hornet</t>
        </is>
      </c>
      <c r="E9" t="inlineStr">
        <is>
          <t>practice-flight crash</t>
        </is>
      </c>
      <c r="F9" t="n">
        <v>1</v>
      </c>
      <c r="G9" t="inlineStr">
        <is>
          <t>aircraft lost</t>
        </is>
      </c>
      <c r="H9" t="inlineStr">
        <is>
          <t>Crashed during beginning stages of air-show practice; this row records the official occurrence. Detailed causal finding not yet extracted.</t>
        </is>
      </c>
      <c r="I9" t="inlineStr">
        <is>
          <t>unknown_investigation</t>
        </is>
      </c>
      <c r="J9" t="inlineStr">
        <is>
          <t>official occurrence</t>
        </is>
      </c>
      <c r="K9" t="inlineStr">
        <is>
          <t>no evidence either way</t>
        </is>
      </c>
      <c r="L9" t="inlineStr">
        <is>
          <t>non-hostile</t>
        </is>
      </c>
      <c r="M9" t="inlineStr">
        <is>
          <t>US Navy official release</t>
        </is>
      </c>
      <c r="N9" t="inlineStr">
        <is>
          <t>Fatal training/display comparator</t>
        </is>
      </c>
      <c r="O9" t="inlineStr">
        <is>
          <t>https://www.navy.mil/Press-Office/Press-Releases/display-pressreleases/Article/2257181/update-blue-angel-fa-18-crashes-during-air-show-practice/</t>
        </is>
      </c>
      <c r="P9" t="inlineStr">
        <is>
          <t>NATO member; official Navy source</t>
        </is>
      </c>
    </row>
    <row r="10">
      <c r="A10" t="inlineStr">
        <is>
          <t>2016-06-07</t>
        </is>
      </c>
      <c r="B10" t="inlineStr">
        <is>
          <t>United States</t>
        </is>
      </c>
      <c r="C10" t="inlineStr">
        <is>
          <t>US Air Force</t>
        </is>
      </c>
      <c r="D10" t="inlineStr">
        <is>
          <t>2 × F-16C</t>
        </is>
      </c>
      <c r="E10" t="inlineStr">
        <is>
          <t>training mid-air collision</t>
        </is>
      </c>
      <c r="F10" t="n">
        <v>0</v>
      </c>
      <c r="G10" t="inlineStr">
        <is>
          <t>2 aircraft lost</t>
        </is>
      </c>
      <c r="H10" t="inlineStr">
        <is>
          <t>AIB: pilot failed to ensure flight-path deconfliction/separation; unannounced turn produced head-on collision.</t>
        </is>
      </c>
      <c r="I10" t="inlineStr">
        <is>
          <t>human_factors</t>
        </is>
      </c>
      <c r="J10" t="inlineStr">
        <is>
          <t>official final finding</t>
        </is>
      </c>
      <c r="K10" t="inlineStr">
        <is>
          <t>not applicable</t>
        </is>
      </c>
      <c r="L10" t="inlineStr">
        <is>
          <t>non-hostile</t>
        </is>
      </c>
      <c r="M10" t="inlineStr">
        <is>
          <t>Air Combat Command AIB summary</t>
        </is>
      </c>
      <c r="N10" t="inlineStr">
        <is>
          <t>Two-aircraft loss with established conventional cause</t>
        </is>
      </c>
      <c r="O10" t="inlineStr">
        <is>
          <t>https://www.acc.af.mil/News/Article-Display/Article/1505189/f-16c-training-midair-collision-accident-investigation-released/</t>
        </is>
      </c>
      <c r="P10" t="inlineStr">
        <is>
          <t>Both pilots ejected with minor injuries</t>
        </is>
      </c>
    </row>
    <row r="11">
      <c r="A11" t="inlineStr">
        <is>
          <t>2017-04-05</t>
        </is>
      </c>
      <c r="B11" t="inlineStr">
        <is>
          <t>United States</t>
        </is>
      </c>
      <c r="C11" t="inlineStr">
        <is>
          <t>US Air Force / ANG</t>
        </is>
      </c>
      <c r="D11" t="inlineStr">
        <is>
          <t>F-16C</t>
        </is>
      </c>
      <c r="E11" t="inlineStr">
        <is>
          <t>training-flight crash</t>
        </is>
      </c>
      <c r="F11" t="n">
        <v>0</v>
      </c>
      <c r="G11" t="inlineStr">
        <is>
          <t>aircraft lost</t>
        </is>
      </c>
      <c r="H11" t="inlineStr">
        <is>
          <t>AIB: improper assembly of main engine control; missing retaining ring/anti-rotation pin led to abnormal fuel flow, engine overspeed/fire and catastrophic engine failure.</t>
        </is>
      </c>
      <c r="I11" t="inlineStr">
        <is>
          <t>engine_propulsion</t>
        </is>
      </c>
      <c r="J11" t="inlineStr">
        <is>
          <t>official final finding</t>
        </is>
      </c>
      <c r="K11" t="inlineStr">
        <is>
          <t>not applicable</t>
        </is>
      </c>
      <c r="L11" t="inlineStr">
        <is>
          <t>non-hostile</t>
        </is>
      </c>
      <c r="M11" t="inlineStr">
        <is>
          <t>Air Combat Command AIB</t>
        </is>
      </c>
      <c r="N11" t="inlineStr">
        <is>
          <t>Strong maintenance/mechanical-cause comparator</t>
        </is>
      </c>
      <c r="O11" t="inlineStr">
        <is>
          <t>https://www.acc.af.mil/News/Article/1354476/f-16c-accident-investigation-released/</t>
        </is>
      </c>
      <c r="P11" t="inlineStr">
        <is>
          <t>Pilot ejected safely</t>
        </is>
      </c>
    </row>
    <row r="12">
      <c r="A12" t="inlineStr">
        <is>
          <t>2017-06-21</t>
        </is>
      </c>
      <c r="B12" t="inlineStr">
        <is>
          <t>United States</t>
        </is>
      </c>
      <c r="C12" t="inlineStr">
        <is>
          <t>US Air Force / ANG under NORAD</t>
        </is>
      </c>
      <c r="D12" t="inlineStr">
        <is>
          <t>F-16</t>
        </is>
      </c>
      <c r="E12" t="inlineStr">
        <is>
          <t>take-off crash during training</t>
        </is>
      </c>
      <c r="F12" t="n">
        <v>0</v>
      </c>
      <c r="G12" t="inlineStr">
        <is>
          <t>aircraft lost</t>
        </is>
      </c>
      <c r="H12" t="inlineStr">
        <is>
          <t>Official occurrence release confirms training crash; causal finding not extracted in this pass.</t>
        </is>
      </c>
      <c r="I12" t="inlineStr">
        <is>
          <t>unknown_investigation</t>
        </is>
      </c>
      <c r="J12" t="inlineStr">
        <is>
          <t>official occurrence</t>
        </is>
      </c>
      <c r="K12" t="inlineStr">
        <is>
          <t>no evidence either way</t>
        </is>
      </c>
      <c r="L12" t="inlineStr">
        <is>
          <t>non-hostile</t>
        </is>
      </c>
      <c r="M12" t="inlineStr">
        <is>
          <t>NORAD official release</t>
        </is>
      </c>
      <c r="N12" t="inlineStr">
        <is>
          <t>Unresolved-at-occurrence comparator</t>
        </is>
      </c>
      <c r="O12" t="inlineStr">
        <is>
          <t>https://www.norad.mil/Newsroom/Press-Releases/Article/1224526/f-16-crashes-at-ellington-airport/</t>
        </is>
      </c>
      <c r="P12" t="inlineStr">
        <is>
          <t>Pilot ejected safely</t>
        </is>
      </c>
    </row>
    <row r="13">
      <c r="A13" t="inlineStr">
        <is>
          <t>2017-06-21</t>
        </is>
      </c>
      <c r="B13" t="inlineStr">
        <is>
          <t>United States</t>
        </is>
      </c>
      <c r="C13" t="inlineStr">
        <is>
          <t>US Air Force</t>
        </is>
      </c>
      <c r="D13" t="inlineStr">
        <is>
          <t>RQ-4B Global Hawk</t>
        </is>
      </c>
      <c r="E13" t="inlineStr">
        <is>
          <t>uncrewed aircraft loss</t>
        </is>
      </c>
      <c r="F13" t="n">
        <v>0</v>
      </c>
      <c r="G13" t="inlineStr">
        <is>
          <t>aircraft lost</t>
        </is>
      </c>
      <c r="H13" t="inlineStr">
        <is>
          <t>ACC AIB tag summary: aircraft broke up after issues with a navigational data device/navigator.</t>
        </is>
      </c>
      <c r="I13" t="inlineStr">
        <is>
          <t>aircraft_avionics</t>
        </is>
      </c>
      <c r="J13" t="inlineStr">
        <is>
          <t>official final finding</t>
        </is>
      </c>
      <c r="K13" t="inlineStr">
        <is>
          <t>confirmed causal</t>
        </is>
      </c>
      <c r="L13" t="inlineStr">
        <is>
          <t>non-hostile</t>
        </is>
      </c>
      <c r="M13" t="inlineStr">
        <is>
          <t>Air Combat Command AIB index</t>
        </is>
      </c>
      <c r="N13" t="inlineStr">
        <is>
          <t>Direct historical navigation/data-system military comparator</t>
        </is>
      </c>
      <c r="O13" t="inlineStr">
        <is>
          <t>https://www.acc.af.mil/News/Tag/69171/aib/</t>
        </is>
      </c>
      <c r="P13" t="inlineStr">
        <is>
          <t>Uncrewed; keep separate in analysis from crewed aircraft</t>
        </is>
      </c>
    </row>
    <row r="14">
      <c r="A14" t="inlineStr">
        <is>
          <t>2018-06-11</t>
        </is>
      </c>
      <c r="B14" t="inlineStr">
        <is>
          <t>United States</t>
        </is>
      </c>
      <c r="C14" t="inlineStr">
        <is>
          <t>US Air Force</t>
        </is>
      </c>
      <c r="D14" t="inlineStr">
        <is>
          <t>F-15C Eagle</t>
        </is>
      </c>
      <c r="E14" t="inlineStr">
        <is>
          <t>routine-training crash</t>
        </is>
      </c>
      <c r="F14" t="n">
        <v>0</v>
      </c>
      <c r="G14" t="inlineStr">
        <is>
          <t>aircraft lost</t>
        </is>
      </c>
      <c r="H14" t="inlineStr">
        <is>
          <t>Later investigation attributed loss to improper manoeuvring leading to uncontrollable spin; occurrence release initially listed cause unknown.</t>
        </is>
      </c>
      <c r="I14" t="inlineStr">
        <is>
          <t>human_factors</t>
        </is>
      </c>
      <c r="J14" t="inlineStr">
        <is>
          <t>official final finding</t>
        </is>
      </c>
      <c r="K14" t="inlineStr">
        <is>
          <t>not applicable</t>
        </is>
      </c>
      <c r="L14" t="inlineStr">
        <is>
          <t>non-hostile</t>
        </is>
      </c>
      <c r="M14" t="inlineStr">
        <is>
          <t>US Forces Japan occurrence + subsequent AIB reporting</t>
        </is>
      </c>
      <c r="N14" t="inlineStr">
        <is>
          <t>Fighter loss with established non-digital cause</t>
        </is>
      </c>
      <c r="O14" t="inlineStr">
        <is>
          <t>https://www.usfj.mil/Media/Press-Releases/Article-View/Article/1547574/kadena-air-base-f-15-crash-update/</t>
        </is>
      </c>
      <c r="P14" t="inlineStr">
        <is>
          <t>Pilot ejected; serious injuries</t>
        </is>
      </c>
    </row>
    <row r="15">
      <c r="A15" t="inlineStr">
        <is>
          <t>2019-11-21</t>
        </is>
      </c>
      <c r="B15" t="inlineStr">
        <is>
          <t>United States</t>
        </is>
      </c>
      <c r="C15" t="inlineStr">
        <is>
          <t>US Air Force</t>
        </is>
      </c>
      <c r="D15" t="inlineStr">
        <is>
          <t>2 × T-38C</t>
        </is>
      </c>
      <c r="E15" t="inlineStr">
        <is>
          <t>landing collision</t>
        </is>
      </c>
      <c r="F15" t="n">
        <v>2</v>
      </c>
      <c r="G15" t="inlineStr">
        <is>
          <t>1+ aircraft severely damaged/lost</t>
        </is>
      </c>
      <c r="H15" t="inlineStr">
        <is>
          <t>AIB found inappropriate flight-control inputs during formation landing and instructor intervention/oversight issues.</t>
        </is>
      </c>
      <c r="I15" t="inlineStr">
        <is>
          <t>human_factors</t>
        </is>
      </c>
      <c r="J15" t="inlineStr">
        <is>
          <t>official final finding</t>
        </is>
      </c>
      <c r="K15" t="inlineStr">
        <is>
          <t>not applicable</t>
        </is>
      </c>
      <c r="L15" t="inlineStr">
        <is>
          <t>non-hostile</t>
        </is>
      </c>
      <c r="M15" t="inlineStr">
        <is>
          <t>USAF AIB</t>
        </is>
      </c>
      <c r="N15" t="inlineStr">
        <is>
          <t>Fatal training comparator with established cause</t>
        </is>
      </c>
      <c r="O15" t="inlineStr">
        <is>
          <t>https://www.afjag.af.mil/Portals/77/AIB-Reports/2020/21%20Nov%2019%20Vance%20T-38%20AIB%20Report.pdf</t>
        </is>
      </c>
      <c r="P15" t="inlineStr">
        <is>
          <t>Two fatalities in first aircraft; second crew survived</t>
        </is>
      </c>
    </row>
    <row r="16">
      <c r="A16" t="inlineStr">
        <is>
          <t>2020-06-30</t>
        </is>
      </c>
      <c r="B16" t="inlineStr">
        <is>
          <t>United States</t>
        </is>
      </c>
      <c r="C16" t="inlineStr">
        <is>
          <t>US Air Force</t>
        </is>
      </c>
      <c r="D16" t="inlineStr">
        <is>
          <t>F-16CM</t>
        </is>
      </c>
      <c r="E16" t="inlineStr">
        <is>
          <t>night training crash</t>
        </is>
      </c>
      <c r="F16" t="n">
        <v>1</v>
      </c>
      <c r="G16" t="inlineStr">
        <is>
          <t>aircraft lost</t>
        </is>
      </c>
      <c r="H16" t="inlineStr">
        <is>
          <t>AIB: pilot misinterpreted approach lighting/runway threshold; landing gear damaged. Contributory supervisory decision and multiple ejection-seat malfunctions made outcome fatal.</t>
        </is>
      </c>
      <c r="I16" t="inlineStr">
        <is>
          <t>human_factors</t>
        </is>
      </c>
      <c r="J16" t="inlineStr">
        <is>
          <t>official final finding</t>
        </is>
      </c>
      <c r="K16" t="inlineStr">
        <is>
          <t>confirmed contributory</t>
        </is>
      </c>
      <c r="L16" t="inlineStr">
        <is>
          <t>non-hostile</t>
        </is>
      </c>
      <c r="M16" t="inlineStr">
        <is>
          <t>Air Combat Command AIB</t>
        </is>
      </c>
      <c r="N16" t="inlineStr">
        <is>
          <t>Important multi-factor failure: human + safety-system hardware</t>
        </is>
      </c>
      <c r="O16" t="inlineStr">
        <is>
          <t>https://www.acc.af.mil/News/Article/2409430/acc-releases-accident-investigation-board-report-for-f-16-crash-at-shaw-afb/</t>
        </is>
      </c>
      <c r="P16" t="inlineStr">
        <is>
          <t>Ejection-seat failures materially affected fatal outcome</t>
        </is>
      </c>
    </row>
    <row r="17">
      <c r="A17" t="inlineStr">
        <is>
          <t>2020-12-08</t>
        </is>
      </c>
      <c r="B17" t="inlineStr">
        <is>
          <t>United States</t>
        </is>
      </c>
      <c r="C17" t="inlineStr">
        <is>
          <t>US Air Force / ANG</t>
        </is>
      </c>
      <c r="D17" t="inlineStr">
        <is>
          <t>F-16C</t>
        </is>
      </c>
      <c r="E17" t="inlineStr">
        <is>
          <t>night training crash</t>
        </is>
      </c>
      <c r="F17" t="n">
        <v>1</v>
      </c>
      <c r="G17" t="inlineStr">
        <is>
          <t>aircraft lost</t>
        </is>
      </c>
      <c r="H17" t="inlineStr">
        <is>
          <t>AIB: spatial disorientation was primary cause; fixation and a degraded GPS satellite-tracking system substantially contributed. GPS degradation followed absence of satellite tracking data.</t>
        </is>
      </c>
      <c r="I17" t="inlineStr">
        <is>
          <t>human_factors</t>
        </is>
      </c>
      <c r="J17" t="inlineStr">
        <is>
          <t>official final finding</t>
        </is>
      </c>
      <c r="K17" t="inlineStr">
        <is>
          <t>confirmed contributory</t>
        </is>
      </c>
      <c r="L17" t="inlineStr">
        <is>
          <t>non-hostile</t>
        </is>
      </c>
      <c r="M17" t="inlineStr">
        <is>
          <t>Air Combat Command AIB</t>
        </is>
      </c>
      <c r="N17" t="inlineStr">
        <is>
          <t>Critical historical comparator: documented GPS degradation contributed to a fatal NATO military crash before 2026</t>
        </is>
      </c>
      <c r="O17" t="inlineStr">
        <is>
          <t>https://www.acc.af.mil/News/Article-Display/Article/2651324/acc-releases-accident-investigation-board-report-for-f-16-crash-in-the-hiawatha/</t>
        </is>
      </c>
      <c r="P17" t="inlineStr">
        <is>
          <t>Do NOT label as hostile jamming: official source says degraded GPS tracking, not cause of degradation</t>
        </is>
      </c>
    </row>
    <row r="18">
      <c r="A18" t="inlineStr">
        <is>
          <t>2021-02-18</t>
        </is>
      </c>
      <c r="B18" t="inlineStr">
        <is>
          <t>United States</t>
        </is>
      </c>
      <c r="C18" t="inlineStr">
        <is>
          <t>US Air Force</t>
        </is>
      </c>
      <c r="D18" t="inlineStr">
        <is>
          <t>T-38A</t>
        </is>
      </c>
      <c r="E18" t="inlineStr">
        <is>
          <t>touch-and-go landing accident</t>
        </is>
      </c>
      <c r="F18" t="n">
        <v>0</v>
      </c>
      <c r="G18" t="inlineStr">
        <is>
          <t>serious damage</t>
        </is>
      </c>
      <c r="H18" t="inlineStr">
        <is>
          <t>AIB: landing gear raised too early during touch-and-go; aircraft impacted runway before gear fully extended.</t>
        </is>
      </c>
      <c r="I18" t="inlineStr">
        <is>
          <t>human_factors</t>
        </is>
      </c>
      <c r="J18" t="inlineStr">
        <is>
          <t>official final finding</t>
        </is>
      </c>
      <c r="K18" t="inlineStr">
        <is>
          <t>not applicable</t>
        </is>
      </c>
      <c r="L18" t="inlineStr">
        <is>
          <t>non-hostile</t>
        </is>
      </c>
      <c r="M18" t="inlineStr">
        <is>
          <t>Air Force Safety Center AIB index</t>
        </is>
      </c>
      <c r="N18" t="inlineStr">
        <is>
          <t>Conventional training-accident comparator</t>
        </is>
      </c>
      <c r="O18" t="inlineStr">
        <is>
          <t>https://www.safety.af.mil/News/Tag/126008/accident-investigation-board-report/</t>
        </is>
      </c>
      <c r="P18" t="inlineStr">
        <is>
          <t>Approx. $3m damage reported in AIB coverage</t>
        </is>
      </c>
    </row>
    <row r="19">
      <c r="A19" t="inlineStr">
        <is>
          <t>2021-11-19</t>
        </is>
      </c>
      <c r="B19" t="inlineStr">
        <is>
          <t>United States</t>
        </is>
      </c>
      <c r="C19" t="inlineStr">
        <is>
          <t>US Air Force</t>
        </is>
      </c>
      <c r="D19" t="inlineStr">
        <is>
          <t>2 × T-38C</t>
        </is>
      </c>
      <c r="E19" t="inlineStr">
        <is>
          <t>formation-landing collision</t>
        </is>
      </c>
      <c r="F19" t="n">
        <v>1</v>
      </c>
      <c r="G19" t="inlineStr">
        <is>
          <t>2 aircraft involved</t>
        </is>
      </c>
      <c r="H19" t="inlineStr">
        <is>
          <t>AIB documents collision during landing phase following formation approach; detailed factor coding retained as collision pending full opinion extraction.</t>
        </is>
      </c>
      <c r="I19" t="inlineStr">
        <is>
          <t>collision</t>
        </is>
      </c>
      <c r="J19" t="inlineStr">
        <is>
          <t>official final report</t>
        </is>
      </c>
      <c r="K19" t="inlineStr">
        <is>
          <t>no evidence either way</t>
        </is>
      </c>
      <c r="L19" t="inlineStr">
        <is>
          <t>non-hostile</t>
        </is>
      </c>
      <c r="M19" t="inlineStr">
        <is>
          <t>USAF AIB</t>
        </is>
      </c>
      <c r="N19" t="inlineStr">
        <is>
          <t>Fatal multi-aircraft training comparator</t>
        </is>
      </c>
      <c r="O19" t="inlineStr">
        <is>
          <t>https://www.afjag.af.mil/Portals/77/AIB-Reports/2021/19NOV21%20T-38%20Laughlin%20AIB%20Report.pdf</t>
        </is>
      </c>
      <c r="P19" t="inlineStr">
        <is>
          <t>One student pilot killed; two instructor pilots injured</t>
        </is>
      </c>
    </row>
    <row r="20">
      <c r="A20" t="inlineStr">
        <is>
          <t>2022-03-23</t>
        </is>
      </c>
      <c r="B20" t="inlineStr">
        <is>
          <t>United States</t>
        </is>
      </c>
      <c r="C20" t="inlineStr">
        <is>
          <t>US Air Force / ANG</t>
        </is>
      </c>
      <c r="D20" t="inlineStr">
        <is>
          <t>F-16CM</t>
        </is>
      </c>
      <c r="E20" t="inlineStr">
        <is>
          <t>training crash</t>
        </is>
      </c>
      <c r="F20" t="n">
        <v>0</v>
      </c>
      <c r="G20" t="inlineStr">
        <is>
          <t>aircraft lost</t>
        </is>
      </c>
      <c r="H20" t="inlineStr">
        <is>
          <t>AIB: during low/slow intercept training the pilot incorrectly assessed departure from controlled flight and ejected from a controllable aircraft.</t>
        </is>
      </c>
      <c r="I20" t="inlineStr">
        <is>
          <t>human_factors</t>
        </is>
      </c>
      <c r="J20" t="inlineStr">
        <is>
          <t>official final finding</t>
        </is>
      </c>
      <c r="K20" t="inlineStr">
        <is>
          <t>not applicable</t>
        </is>
      </c>
      <c r="L20" t="inlineStr">
        <is>
          <t>non-hostile</t>
        </is>
      </c>
      <c r="M20" t="inlineStr">
        <is>
          <t>Air Combat Command AIB</t>
        </is>
      </c>
      <c r="N20" t="inlineStr">
        <is>
          <t>Clear non-system fighter-loss comparator</t>
        </is>
      </c>
      <c r="O20" t="inlineStr">
        <is>
          <t>https://www.acc.af.mil/News/Article/3229388/acc-releases-accident-investigation-board-report-for-f-16cm-crash-in-louisiana/</t>
        </is>
      </c>
      <c r="P20" t="inlineStr">
        <is>
          <t>Pilot sustained minor injuries</t>
        </is>
      </c>
    </row>
    <row r="21">
      <c r="A21" t="inlineStr">
        <is>
          <t>2024-03-20</t>
        </is>
      </c>
      <c r="B21" t="inlineStr">
        <is>
          <t>Greece</t>
        </is>
      </c>
      <c r="C21" t="inlineStr">
        <is>
          <t>Hellenic Air Force</t>
        </is>
      </c>
      <c r="D21" t="inlineStr">
        <is>
          <t>F-16C Block 52</t>
        </is>
      </c>
      <c r="E21" t="inlineStr">
        <is>
          <t>routine-training crash</t>
        </is>
      </c>
      <c r="F21" t="n">
        <v>0</v>
      </c>
      <c r="G21" t="inlineStr">
        <is>
          <t>aircraft lost</t>
        </is>
      </c>
      <c r="H21" t="inlineStr">
        <is>
          <t>Aircraft crashed near Psathoura during routine training; pilot ejected. Public cause not established in sources collected in this pass.</t>
        </is>
      </c>
      <c r="I21" t="inlineStr">
        <is>
          <t>unknown_investigation</t>
        </is>
      </c>
      <c r="J21" t="inlineStr">
        <is>
          <t>credible occurrence / official follow-up required</t>
        </is>
      </c>
      <c r="K21" t="inlineStr">
        <is>
          <t>no evidence either way</t>
        </is>
      </c>
      <c r="L21" t="inlineStr">
        <is>
          <t>non-hostile</t>
        </is>
      </c>
      <c r="M21" t="inlineStr">
        <is>
          <t>Event confirmed; official causal report still to locate</t>
        </is>
      </c>
      <c r="N21" t="inlineStr">
        <is>
          <t>NATO European fighter-loss comparator</t>
        </is>
      </c>
      <c r="O21" t="inlineStr">
        <is>
          <t>https://www.haf.gr/2024/03/anakoinosi-typoy-ptosi-a-f-f-16-stin-periochi-psathoyras/</t>
        </is>
      </c>
      <c r="P21" t="inlineStr">
        <is>
          <t>Official HAF URL retained for source reconciliation</t>
        </is>
      </c>
    </row>
    <row r="22">
      <c r="A22" t="inlineStr">
        <is>
          <t>2025-01-28</t>
        </is>
      </c>
      <c r="B22" t="inlineStr">
        <is>
          <t>United States</t>
        </is>
      </c>
      <c r="C22" t="inlineStr">
        <is>
          <t>US Air Force</t>
        </is>
      </c>
      <c r="D22" t="inlineStr">
        <is>
          <t>F-35A Lightning II</t>
        </is>
      </c>
      <c r="E22" t="inlineStr">
        <is>
          <t>training-flight crash</t>
        </is>
      </c>
      <c r="F22" t="n">
        <v>0</v>
      </c>
      <c r="G22" t="inlineStr">
        <is>
          <t>aircraft lost</t>
        </is>
      </c>
      <c r="H22" t="inlineStr">
        <is>
          <t>AIB: water-contaminated hydraulic fluid froze; landing gear failed to retract/extend correctly, Weight-on-Wheels logic switched aircraft to on-ground flight-control law while airborne and aircraft became uncontrollable.</t>
        </is>
      </c>
      <c r="I22" t="inlineStr">
        <is>
          <t>structural_mechanical</t>
        </is>
      </c>
      <c r="J22" t="inlineStr">
        <is>
          <t>official final finding</t>
        </is>
      </c>
      <c r="K22" t="inlineStr">
        <is>
          <t>confirmed contributory</t>
        </is>
      </c>
      <c r="L22" t="inlineStr">
        <is>
          <t>non-hostile</t>
        </is>
      </c>
      <c r="M22" t="inlineStr">
        <is>
          <t>Pacific Air Forces AIB</t>
        </is>
      </c>
      <c r="N22" t="inlineStr">
        <is>
          <t>Excellent modern comparator where physical contamination propagated into digital flight-control logic</t>
        </is>
      </c>
      <c r="O22" t="inlineStr">
        <is>
          <t>https://www.eielson.af.mil/News/Display/Article/4286209/press-release-aircraft-accident-investigation-report-released-for-eielson-f-35/</t>
        </is>
      </c>
      <c r="P22" t="inlineStr">
        <is>
          <t>$196.5m aircraft destroyed; pilot ejected</t>
        </is>
      </c>
    </row>
    <row r="23">
      <c r="A23" t="inlineStr">
        <is>
          <t>2025-05-07</t>
        </is>
      </c>
      <c r="B23" t="inlineStr">
        <is>
          <t>Finland</t>
        </is>
      </c>
      <c r="C23" t="inlineStr">
        <is>
          <t>Finnish Air Force / Lapland Air Wing</t>
        </is>
      </c>
      <c r="D23" t="inlineStr">
        <is>
          <t>F/A-18 Hornet HN-409</t>
        </is>
      </c>
      <c r="E23" t="inlineStr">
        <is>
          <t>display-practice crash</t>
        </is>
      </c>
      <c r="F23" t="n">
        <v>0</v>
      </c>
      <c r="G23" t="inlineStr">
        <is>
          <t>aircraft lost</t>
        </is>
      </c>
      <c r="H23" t="inlineStr">
        <is>
          <t>Official occurrence: aircraft crashed five minutes into display-practice sortie; pilot ejected with minor injury. Cause not supplied in occurrence release.</t>
        </is>
      </c>
      <c r="I23" t="inlineStr">
        <is>
          <t>unknown_investigation</t>
        </is>
      </c>
      <c r="J23" t="inlineStr">
        <is>
          <t>official occurrence</t>
        </is>
      </c>
      <c r="K23" t="inlineStr">
        <is>
          <t>no evidence either way</t>
        </is>
      </c>
      <c r="L23" t="inlineStr">
        <is>
          <t>non-hostile</t>
        </is>
      </c>
      <c r="M23" t="inlineStr">
        <is>
          <t>Finnish Government / Air Force official release</t>
        </is>
      </c>
      <c r="N23" t="inlineStr">
        <is>
          <t>Nordic NATO fighter-loss comparator</t>
        </is>
      </c>
      <c r="O23" t="inlineStr">
        <is>
          <t>https://valtioneuvosto.fi/en/-/1951206/finnish-air-force-f-a-18-hornet-fighter-suffers-an-accident-in-rovaniemi</t>
        </is>
      </c>
      <c r="P23" t="inlineStr">
        <is>
          <t>Cause needs later investigation backfill</t>
        </is>
      </c>
    </row>
    <row r="24">
      <c r="A24" t="inlineStr">
        <is>
          <t>2025-08-20</t>
        </is>
      </c>
      <c r="B24" t="inlineStr">
        <is>
          <t>United States</t>
        </is>
      </c>
      <c r="C24" t="inlineStr">
        <is>
          <t>US Navy</t>
        </is>
      </c>
      <c r="D24" t="inlineStr">
        <is>
          <t>F/A-18E Super Hornet</t>
        </is>
      </c>
      <c r="E24" t="inlineStr">
        <is>
          <t>routine-training crash</t>
        </is>
      </c>
      <c r="F24" t="n">
        <v>0</v>
      </c>
      <c r="G24" t="inlineStr">
        <is>
          <t>aircraft lost</t>
        </is>
      </c>
      <c r="H24" t="inlineStr">
        <is>
          <t>Pilot ejected during routine training off Virginia; cause under investigation in the Navy statement reproduced by USNI.</t>
        </is>
      </c>
      <c r="I24" t="inlineStr">
        <is>
          <t>unknown_investigation</t>
        </is>
      </c>
      <c r="J24" t="inlineStr">
        <is>
          <t>official occurrence via Navy statement</t>
        </is>
      </c>
      <c r="K24" t="inlineStr">
        <is>
          <t>no evidence either way</t>
        </is>
      </c>
      <c r="L24" t="inlineStr">
        <is>
          <t>non-hostile</t>
        </is>
      </c>
      <c r="M24" t="inlineStr">
        <is>
          <t>US Navy statement</t>
        </is>
      </c>
      <c r="N24" t="inlineStr">
        <is>
          <t>Recent pre-2026 US naval aviation-loss comparator</t>
        </is>
      </c>
      <c r="O24" t="inlineStr">
        <is>
          <t>https://news.usni.org/2025/08/20/pilot-safe-after-super-hornet-crash-off-virginia-beach</t>
        </is>
      </c>
      <c r="P24" t="inlineStr">
        <is>
          <t>Official Navy release text reproduced in source</t>
        </is>
      </c>
    </row>
    <row r="25">
      <c r="A25" t="inlineStr">
        <is>
          <t>2025-08-28</t>
        </is>
      </c>
      <c r="B25" t="inlineStr">
        <is>
          <t>Poland</t>
        </is>
      </c>
      <c r="C25" t="inlineStr">
        <is>
          <t>Polish Air Force</t>
        </is>
      </c>
      <c r="D25" t="inlineStr">
        <is>
          <t>F-16C</t>
        </is>
      </c>
      <c r="E25" t="inlineStr">
        <is>
          <t>air-show rehearsal crash</t>
        </is>
      </c>
      <c r="F25" t="n">
        <v>1</v>
      </c>
      <c r="G25" t="inlineStr">
        <is>
          <t>aircraft lost</t>
        </is>
      </c>
      <c r="H25" t="inlineStr">
        <is>
          <t>Crashed during rehearsal/training manoeuvre at Radom; investigation announced. No causal finding coded without official final report.</t>
        </is>
      </c>
      <c r="I25" t="inlineStr">
        <is>
          <t>unknown_investigation</t>
        </is>
      </c>
      <c r="J25" t="inlineStr">
        <is>
          <t>official/agency occurrence</t>
        </is>
      </c>
      <c r="K25" t="inlineStr">
        <is>
          <t>no evidence either way</t>
        </is>
      </c>
      <c r="L25" t="inlineStr">
        <is>
          <t>non-hostile</t>
        </is>
      </c>
      <c r="M25" t="inlineStr">
        <is>
          <t>Polish armed-forces statements reported by PAP; investigation pending</t>
        </is>
      </c>
      <c r="N25" t="inlineStr">
        <is>
          <t>Fatal NATO European fighter-loss comparator immediately pre-2026</t>
        </is>
      </c>
      <c r="O25" t="inlineStr">
        <is>
          <t>https://www.pap.pl/en/news/poland-cancels-air-show-after-f-16-pilot-dies-during-rehearsal</t>
        </is>
      </c>
    </row>
    <row r="26">
      <c r="A26" t="inlineStr">
        <is>
          <t>2022-08-02</t>
        </is>
      </c>
      <c r="B26" t="inlineStr">
        <is>
          <t>Canada</t>
        </is>
      </c>
      <c r="C26" t="inlineStr">
        <is>
          <t>Royal Canadian Air Force / Snowbirds</t>
        </is>
      </c>
      <c r="D26" t="inlineStr">
        <is>
          <t>CT-114 Tutor CT114051</t>
        </is>
      </c>
      <c r="E26" t="inlineStr">
        <is>
          <t>engine failure / runway overrun</t>
        </is>
      </c>
      <c r="F26" t="n">
        <v>0</v>
      </c>
      <c r="G26" t="inlineStr">
        <is>
          <t>very serious damage</t>
        </is>
      </c>
      <c r="H26" t="inlineStr">
        <is>
          <t>RCAF investigation: engine failed because of an improperly assembled oil filter; landing gear had insufficient time to cycle down and collapsed after touchdown.</t>
        </is>
      </c>
      <c r="I26" t="inlineStr">
        <is>
          <t>engine_propulsion</t>
        </is>
      </c>
      <c r="J26" t="inlineStr">
        <is>
          <t>official investigation</t>
        </is>
      </c>
      <c r="K26" t="inlineStr">
        <is>
          <t>not applicable</t>
        </is>
      </c>
      <c r="L26" t="inlineStr">
        <is>
          <t>non-hostile</t>
        </is>
      </c>
      <c r="M26" t="inlineStr">
        <is>
          <t>RCAF Flight Safety investigation</t>
        </is>
      </c>
      <c r="N26" t="inlineStr">
        <is>
          <t>Official Canadian mechanical/maintenance comparator</t>
        </is>
      </c>
      <c r="O26" t="inlineStr">
        <is>
          <t>https://www.canada.ca/en/air-force/corporate/reports-publications/flight-safety-investigation-reports/ct114051-epilogue.html</t>
        </is>
      </c>
      <c r="P26" t="inlineStr">
        <is>
          <t>Pilot uninjured</t>
        </is>
      </c>
    </row>
    <row r="27">
      <c r="A27" t="inlineStr">
        <is>
          <t>2024-08-14</t>
        </is>
      </c>
      <c r="B27" t="inlineStr">
        <is>
          <t>France</t>
        </is>
      </c>
      <c r="C27" t="inlineStr">
        <is>
          <t>French Air and Space Force</t>
        </is>
      </c>
      <c r="D27" t="inlineStr">
        <is>
          <t>2 × Rafale</t>
        </is>
      </c>
      <c r="E27" t="inlineStr">
        <is>
          <t>mid-air collision during training</t>
        </is>
      </c>
      <c r="F27" t="n">
        <v>2</v>
      </c>
      <c r="G27" t="inlineStr">
        <is>
          <t>2 aircraft destroyed</t>
        </is>
      </c>
      <c r="H27" t="inlineStr">
        <is>
          <t>BEA-É: while conducting visual close-combat training after diverting from locally adverse weather, the two aircraft collided during the second crossing.</t>
        </is>
      </c>
      <c r="I27" t="inlineStr">
        <is>
          <t>collision</t>
        </is>
      </c>
      <c r="J27" t="inlineStr">
        <is>
          <t>official final safety report</t>
        </is>
      </c>
      <c r="K27" t="inlineStr">
        <is>
          <t>no evidence either way</t>
        </is>
      </c>
      <c r="L27" t="inlineStr">
        <is>
          <t>non-hostile</t>
        </is>
      </c>
      <c r="M27" t="inlineStr">
        <is>
          <t>BEA-É safety investigation A-2024-19-A</t>
        </is>
      </c>
      <c r="N27" t="inlineStr">
        <is>
          <t>Two-aircraft fatal European NATO comparator</t>
        </is>
      </c>
      <c r="O27" t="inlineStr">
        <is>
          <t>https://www.defense.gouv.fr/de/node/23772</t>
        </is>
      </c>
      <c r="P27" t="inlineStr">
        <is>
          <t>One pilot ejected; both occupants of the other aircraft died</t>
        </is>
      </c>
    </row>
    <row r="28">
      <c r="A28" t="inlineStr">
        <is>
          <t>2024-12-12</t>
        </is>
      </c>
      <c r="B28" t="inlineStr">
        <is>
          <t>France</t>
        </is>
      </c>
      <c r="C28" t="inlineStr">
        <is>
          <t>French Air and Space Force</t>
        </is>
      </c>
      <c r="D28" t="inlineStr">
        <is>
          <t>Rafale</t>
        </is>
      </c>
      <c r="E28" t="inlineStr">
        <is>
          <t>bird strike / rejected take-off</t>
        </is>
      </c>
      <c r="F28" t="n">
        <v>0</v>
      </c>
      <c r="G28" t="inlineStr">
        <is>
          <t>aircraft damaged</t>
        </is>
      </c>
      <c r="H28" t="inlineStr">
        <is>
          <t>BEA-É: aircraft struck a bird just before rotation; pilot rejected take-off. Brake-energy warning followed continuous braking and fires later developed on both main-wheel rims.</t>
        </is>
      </c>
      <c r="I28" t="inlineStr">
        <is>
          <t>bird_wildlife</t>
        </is>
      </c>
      <c r="J28" t="inlineStr">
        <is>
          <t>official final safety report</t>
        </is>
      </c>
      <c r="K28" t="inlineStr">
        <is>
          <t>not applicable</t>
        </is>
      </c>
      <c r="L28" t="inlineStr">
        <is>
          <t>non-hostile</t>
        </is>
      </c>
      <c r="M28" t="inlineStr">
        <is>
          <t>BEA-É safety investigation A-2024-26-I</t>
        </is>
      </c>
      <c r="N28" t="inlineStr">
        <is>
          <t>Clear physical-cause comparator with secondary brake/fire consequences</t>
        </is>
      </c>
      <c r="O28" t="inlineStr">
        <is>
          <t>https://www.defense.gouv.fr/de/node/21181</t>
        </is>
      </c>
      <c r="P28" t="inlineStr">
        <is>
          <t>Not an aircraft loss; retained as serious military aviation safety event</t>
        </is>
      </c>
    </row>
    <row r="29">
      <c r="A29" t="inlineStr">
        <is>
          <t>2024-05-28</t>
        </is>
      </c>
      <c r="B29" t="inlineStr">
        <is>
          <t>United States</t>
        </is>
      </c>
      <c r="C29" t="inlineStr">
        <is>
          <t>US Air Force</t>
        </is>
      </c>
      <c r="D29" t="inlineStr">
        <is>
          <t>F-16C</t>
        </is>
      </c>
      <c r="E29" t="inlineStr">
        <is>
          <t>bird strike after take-off</t>
        </is>
      </c>
      <c r="F29" t="n">
        <v>0</v>
      </c>
      <c r="G29" t="inlineStr">
        <is>
          <t>aircraft damaged/recovered</t>
        </is>
      </c>
      <c r="H29" t="inlineStr">
        <is>
          <t>AIB: collision with waterfowl not visible to aircrew or tower caused significant engine damage; pilot jettisoned external tanks and recovered safely.</t>
        </is>
      </c>
      <c r="I29" t="inlineStr">
        <is>
          <t>bird_wildlife</t>
        </is>
      </c>
      <c r="J29" t="inlineStr">
        <is>
          <t>official final finding</t>
        </is>
      </c>
      <c r="K29" t="inlineStr">
        <is>
          <t>not applicable</t>
        </is>
      </c>
      <c r="L29" t="inlineStr">
        <is>
          <t>non-hostile</t>
        </is>
      </c>
      <c r="M29" t="inlineStr">
        <is>
          <t>PACAF/354th FW AIB release</t>
        </is>
      </c>
      <c r="N29" t="inlineStr">
        <is>
          <t>Useful case where suspected aircraft problem has an established environmental cause</t>
        </is>
      </c>
      <c r="O29" t="inlineStr">
        <is>
          <t>https://www.505ccw.acc.af.mil/News/Article-Display/Article/4183904/press-release-f-16-aib-report/</t>
        </is>
      </c>
      <c r="P29" t="inlineStr">
        <is>
          <t>No injuries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style="22" min="1" max="1"/>
    <col width="42" customWidth="1" style="22" min="2" max="2"/>
    <col width="24" customWidth="1" style="22" min="3" max="3"/>
    <col width="55" customWidth="1" style="22" min="4" max="4"/>
  </cols>
  <sheetData>
    <row r="1">
      <c r="A1" s="36" t="inlineStr">
        <is>
          <t>Year</t>
        </is>
      </c>
      <c r="B1" s="36" t="inlineStr">
        <is>
          <t>UK official inquiry collection checked</t>
        </is>
      </c>
      <c r="C1" s="36" t="inlineStr">
        <is>
          <t>NATO-wide coverage</t>
        </is>
      </c>
      <c r="D1" s="36" t="inlineStr">
        <is>
          <t>Interpretation</t>
        </is>
      </c>
    </row>
    <row r="2">
      <c r="A2" s="11" t="n">
        <v>2016</v>
      </c>
      <c r="B2" s="11" t="inlineStr">
        <is>
          <t>seeded</t>
        </is>
      </c>
      <c r="C2" s="11" t="inlineStr">
        <is>
          <t>not complete</t>
        </is>
      </c>
      <c r="D2" s="11" t="inlineStr">
        <is>
          <t>Do not use row count as NATO rate</t>
        </is>
      </c>
    </row>
    <row r="3">
      <c r="A3" s="11" t="n">
        <v>2017</v>
      </c>
      <c r="B3" s="11" t="inlineStr">
        <is>
          <t>seeded</t>
        </is>
      </c>
      <c r="C3" s="11" t="inlineStr">
        <is>
          <t>not complete</t>
        </is>
      </c>
      <c r="D3" s="11" t="inlineStr">
        <is>
          <t>Do not use row count as NATO rate</t>
        </is>
      </c>
    </row>
    <row r="4">
      <c r="A4" s="11" t="n">
        <v>2018</v>
      </c>
      <c r="B4" s="11" t="inlineStr">
        <is>
          <t>seeded</t>
        </is>
      </c>
      <c r="C4" s="11" t="inlineStr">
        <is>
          <t>not complete</t>
        </is>
      </c>
      <c r="D4" s="11" t="inlineStr">
        <is>
          <t>Do not use row count as NATO rate</t>
        </is>
      </c>
    </row>
    <row r="5">
      <c r="A5" s="11" t="n">
        <v>2019</v>
      </c>
      <c r="B5" s="11" t="inlineStr">
        <is>
          <t>collection checked; no row yet</t>
        </is>
      </c>
      <c r="C5" s="11" t="inlineStr">
        <is>
          <t>not complete</t>
        </is>
      </c>
      <c r="D5" s="11" t="inlineStr">
        <is>
          <t>Absence in current ledger is not zero accidents</t>
        </is>
      </c>
    </row>
    <row r="6">
      <c r="A6" s="11" t="n">
        <v>2020</v>
      </c>
      <c r="B6" s="11" t="inlineStr">
        <is>
          <t>collection checked; no row yet</t>
        </is>
      </c>
      <c r="C6" s="11" t="inlineStr">
        <is>
          <t>not complete</t>
        </is>
      </c>
      <c r="D6" s="11" t="inlineStr">
        <is>
          <t>Absence in current ledger is not zero accidents</t>
        </is>
      </c>
    </row>
    <row r="7">
      <c r="A7" s="11" t="n">
        <v>2021</v>
      </c>
      <c r="B7" s="11" t="inlineStr">
        <is>
          <t>seeded</t>
        </is>
      </c>
      <c r="C7" s="11" t="inlineStr">
        <is>
          <t>not complete</t>
        </is>
      </c>
      <c r="D7" s="11" t="inlineStr">
        <is>
          <t>Includes F-35B loss; parachute fatality separately flagged</t>
        </is>
      </c>
    </row>
    <row r="8">
      <c r="A8" s="11" t="n">
        <v>2022</v>
      </c>
      <c r="B8" s="11" t="inlineStr">
        <is>
          <t>collection checked; no qualifying aircraft-loss row yet</t>
        </is>
      </c>
      <c r="C8" s="11" t="inlineStr">
        <is>
          <t>not complete</t>
        </is>
      </c>
      <c r="D8" s="11" t="inlineStr">
        <is>
          <t>Needs other NATO members</t>
        </is>
      </c>
    </row>
    <row r="9">
      <c r="A9" s="11" t="n">
        <v>2023</v>
      </c>
      <c r="B9" s="11" t="inlineStr">
        <is>
          <t>collection checked; no qualifying aircraft-loss row yet</t>
        </is>
      </c>
      <c r="C9" s="11" t="inlineStr">
        <is>
          <t>not complete</t>
        </is>
      </c>
      <c r="D9" s="11" t="inlineStr">
        <is>
          <t>Needs other NATO members</t>
        </is>
      </c>
    </row>
    <row r="10">
      <c r="A10" s="11" t="n">
        <v>2024</v>
      </c>
      <c r="B10" s="11" t="inlineStr">
        <is>
          <t>seeded</t>
        </is>
      </c>
      <c r="C10" s="11" t="inlineStr">
        <is>
          <t>not complete</t>
        </is>
      </c>
      <c r="D10" s="11" t="inlineStr">
        <is>
          <t>Queen Elizabeth air accident report now available</t>
        </is>
      </c>
    </row>
    <row r="11">
      <c r="A11" s="11" t="n">
        <v>2025</v>
      </c>
      <c r="B11" s="11" t="inlineStr">
        <is>
          <t>collection checked; no qualifying UK row yet</t>
        </is>
      </c>
      <c r="C11" s="11" t="inlineStr">
        <is>
          <t>not complete</t>
        </is>
      </c>
      <c r="D11" s="11" t="inlineStr">
        <is>
          <t>Needs other NATO members</t>
        </is>
      </c>
    </row>
    <row r="12">
      <c r="A12" s="11" t="n">
        <v>2026</v>
      </c>
      <c r="B12" s="11" t="inlineStr">
        <is>
          <t>observation dataset separate</t>
        </is>
      </c>
      <c r="C12" s="11" t="inlineStr">
        <is>
          <t>in progress</t>
        </is>
      </c>
      <c r="D12" s="11" t="inlineStr">
        <is>
          <t>Post-28-Feb observation list requires official-source reconciliation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2" customWidth="1" style="22" min="1" max="1"/>
    <col width="24" customWidth="1" style="22" min="2" max="2"/>
    <col width="62" customWidth="1" style="22" min="3" max="3"/>
    <col width="58" customWidth="1" style="22" min="4" max="4"/>
  </cols>
  <sheetData>
    <row r="1">
      <c r="A1" s="36" t="inlineStr">
        <is>
          <t>Jurisdiction/source</t>
        </is>
      </c>
      <c r="B1" s="36" t="inlineStr">
        <is>
          <t>Status</t>
        </is>
      </c>
      <c r="C1" s="36" t="inlineStr">
        <is>
          <t>What it gives us</t>
        </is>
      </c>
      <c r="D1" s="36" t="inlineStr">
        <is>
          <t>URL</t>
        </is>
      </c>
    </row>
    <row r="2">
      <c r="A2" s="11" t="inlineStr">
        <is>
          <t>UK MOD / Defence Safety Authority Service Inquiries</t>
        </is>
      </c>
      <c r="B2" s="11" t="inlineStr">
        <is>
          <t>active; seeded</t>
        </is>
      </c>
      <c r="C2" s="11" t="inlineStr">
        <is>
          <t>Final military accident investigations and causal findings</t>
        </is>
      </c>
      <c r="D2" s="11" t="inlineStr">
        <is>
          <t>https://www.gov.uk/government/collections/service-inquiry-si</t>
        </is>
      </c>
    </row>
    <row r="3">
      <c r="A3" s="11" t="inlineStr">
        <is>
          <t>UK Military Aircraft Accident Summaries</t>
        </is>
      </c>
      <c r="B3" s="11" t="inlineStr">
        <is>
          <t>active historical archive</t>
        </is>
      </c>
      <c r="C3" s="11" t="inlineStr">
        <is>
          <t>Completed RAF serious-accident summaries; &gt;300 held centrally since 1979 per MOD collection</t>
        </is>
      </c>
      <c r="D3" s="11" t="inlineStr">
        <is>
          <t>https://www.gov.uk/government/collections/service-inquiry-si</t>
        </is>
      </c>
    </row>
    <row r="4">
      <c r="A4" s="11" t="inlineStr">
        <is>
          <t>Other NATO national military safety authorities</t>
        </is>
      </c>
      <c r="B4" s="11" t="inlineStr">
        <is>
          <t>to backfill</t>
        </is>
      </c>
      <c r="C4" s="11" t="inlineStr">
        <is>
          <t>Needed for denominator beyond UK; country-by-country official source mapping</t>
        </is>
      </c>
      <c r="D4" s="11" t="str"/>
    </row>
    <row r="5">
      <c r="A5" t="inlineStr">
        <is>
          <t>France — BEA-É</t>
        </is>
      </c>
      <c r="B5" t="inlineStr">
        <is>
          <t>active; seeded</t>
        </is>
      </c>
      <c r="C5" t="inlineStr">
        <is>
          <t>Official military/state-aircraft safety investigations; annual enquiry totals and individual reports</t>
        </is>
      </c>
      <c r="D5" t="inlineStr">
        <is>
          <t>https://www.defense.gouv.fr/bea-e</t>
        </is>
      </c>
    </row>
    <row r="6">
      <c r="A6" t="inlineStr">
        <is>
          <t>Canada — RCAF Flight Safety</t>
        </is>
      </c>
      <c r="B6" t="inlineStr">
        <is>
          <t>active; seeded</t>
        </is>
      </c>
      <c r="C6" t="inlineStr">
        <is>
          <t>Flight Safety investigation reports with occurrence, investigator and epilogue/final findings</t>
        </is>
      </c>
      <c r="D6" t="inlineStr">
        <is>
          <t>https://www.canada.ca/en/air-force/corporate/reports-publications/flight-safety-investigation-reports.html</t>
        </is>
      </c>
    </row>
    <row r="7">
      <c r="A7" t="inlineStr">
        <is>
          <t>United States — USAF AIB / service safety investigations</t>
        </is>
      </c>
      <c r="B7" t="inlineStr">
        <is>
          <t>active; substantially seeded</t>
        </is>
      </c>
      <c r="C7" t="inlineStr">
        <is>
          <t>Accident Investigation Board reports and official causal findings</t>
        </is>
      </c>
      <c r="D7" t="inlineStr">
        <is>
          <t>https://www.afjag.af.mil/AIB-Reports/</t>
        </is>
      </c>
    </row>
    <row r="8">
      <c r="A8" t="inlineStr">
        <is>
          <t>Finland — Finnish Air Force / Government releases</t>
        </is>
      </c>
      <c r="B8" t="inlineStr">
        <is>
          <t>seeded; investigation backfill needed</t>
        </is>
      </c>
      <c r="C8" t="inlineStr">
        <is>
          <t>Official occurrence releases and later investigation material</t>
        </is>
      </c>
      <c r="D8" t="inlineStr">
        <is>
          <t>https://ilmavoimat.fi/en/</t>
        </is>
      </c>
    </row>
    <row r="9">
      <c r="A9" t="inlineStr">
        <is>
          <t>Greece — Hellenic Air Force</t>
        </is>
      </c>
      <c r="B9" t="inlineStr">
        <is>
          <t>seeded; investigation backfill needed</t>
        </is>
      </c>
      <c r="C9" t="inlineStr">
        <is>
          <t>Official occurrence releases</t>
        </is>
      </c>
      <c r="D9" t="inlineStr">
        <is>
          <t>https://www.haf.gr/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style="22" min="1" max="1"/>
    <col width="24" customWidth="1" style="22" min="2" max="2"/>
    <col width="18" customWidth="1" style="22" min="3" max="3"/>
    <col width="34" customWidth="1" style="22" min="4" max="4"/>
    <col width="28" customWidth="1" style="22" min="5" max="5"/>
    <col width="65" customWidth="1" style="22" min="6" max="6"/>
    <col width="65" customWidth="1" style="22" min="7" max="7"/>
    <col width="58" customWidth="1" style="22" min="8" max="8"/>
  </cols>
  <sheetData>
    <row r="1">
      <c r="A1" s="42" t="inlineStr">
        <is>
          <t>Date</t>
        </is>
      </c>
      <c r="B1" s="42" t="inlineStr">
        <is>
          <t>Aircraft</t>
        </is>
      </c>
      <c r="C1" s="42" t="inlineStr">
        <is>
          <t>Country</t>
        </is>
      </c>
      <c r="D1" s="42" t="inlineStr">
        <is>
          <t>Information-system element</t>
        </is>
      </c>
      <c r="E1" s="42" t="inlineStr">
        <is>
          <t>Role in accident</t>
        </is>
      </c>
      <c r="F1" s="42" t="inlineStr">
        <is>
          <t>What the official finding DOES say</t>
        </is>
      </c>
      <c r="G1" s="42" t="inlineStr">
        <is>
          <t>What it DOES NOT establish</t>
        </is>
      </c>
      <c r="H1" s="42" t="inlineStr">
        <is>
          <t>Source URL</t>
        </is>
      </c>
    </row>
    <row r="2">
      <c r="A2" s="11" t="inlineStr">
        <is>
          <t>2017-06-21</t>
        </is>
      </c>
      <c r="B2" s="11" t="inlineStr">
        <is>
          <t>RQ-4B Global Hawk</t>
        </is>
      </c>
      <c r="C2" s="11" t="inlineStr">
        <is>
          <t>United States</t>
        </is>
      </c>
      <c r="D2" s="11" t="inlineStr">
        <is>
          <t>navigation data device / navigator</t>
        </is>
      </c>
      <c r="E2" s="11" t="inlineStr">
        <is>
          <t>causal</t>
        </is>
      </c>
      <c r="F2" s="11" t="inlineStr">
        <is>
          <t>ACC says the aircraft broke up after experiencing issues with a navigational data device/navigator.</t>
        </is>
      </c>
      <c r="G2" s="11" t="inlineStr">
        <is>
          <t>No evidence in this source that external interference caused the device issue.</t>
        </is>
      </c>
      <c r="H2" s="11" t="inlineStr">
        <is>
          <t>https://www.acc.af.mil/News/Tag/69171/aib/</t>
        </is>
      </c>
    </row>
    <row r="3">
      <c r="A3" s="11" t="inlineStr">
        <is>
          <t>2020-12-08</t>
        </is>
      </c>
      <c r="B3" s="11" t="inlineStr">
        <is>
          <t>F-16C</t>
        </is>
      </c>
      <c r="C3" s="11" t="inlineStr">
        <is>
          <t>United States</t>
        </is>
      </c>
      <c r="D3" s="11" t="inlineStr">
        <is>
          <t>degraded GPS satellite tracking</t>
        </is>
      </c>
      <c r="E3" s="11" t="inlineStr">
        <is>
          <t>substantially contributory</t>
        </is>
      </c>
      <c r="F3" s="11" t="inlineStr">
        <is>
          <t>AIB says GPS degradation from absence of satellite tracking data contributed alongside fixation; primary cause was spatial disorientation.</t>
        </is>
      </c>
      <c r="G3" s="11" t="inlineStr">
        <is>
          <t>Does not say jamming, spoofing or hostile EW caused the GPS degradation.</t>
        </is>
      </c>
      <c r="H3" s="11" t="inlineStr">
        <is>
          <t>https://www.acc.af.mil/News/Article-Display/Article/2651324/acc-releases-accident-investigation-board-report-for-f-16-crash-in-the-hiawatha/</t>
        </is>
      </c>
    </row>
    <row r="4">
      <c r="A4" s="11" t="inlineStr">
        <is>
          <t>2025-01-28</t>
        </is>
      </c>
      <c r="B4" s="11" t="inlineStr">
        <is>
          <t>F-35A</t>
        </is>
      </c>
      <c r="C4" s="11" t="inlineStr">
        <is>
          <t>United States</t>
        </is>
      </c>
      <c r="D4" s="11" t="inlineStr">
        <is>
          <t>Weight-on-Wheels / flight-control law</t>
        </is>
      </c>
      <c r="E4" s="11" t="inlineStr">
        <is>
          <t>failure propagation / contributory mechanism</t>
        </is>
      </c>
      <c r="F4" s="11" t="inlineStr">
        <is>
          <t>Frozen water-contaminated hydraulic fluid caused landing-gear sensor state to indicate on-ground, switching flight-control law while airborne.</t>
        </is>
      </c>
      <c r="G4" s="11" t="inlineStr">
        <is>
          <t>Root cause was physical contamination/freezing, not a cyber or external information attack.</t>
        </is>
      </c>
      <c r="H4" s="11" t="inlineStr">
        <is>
          <t>https://www.eielson.af.mil/News/Display/Article/4286209/press-release-aircraft-accident-investigation-report-released-for-eielson-f-35/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style="22" min="1" max="1"/>
    <col width="18" customWidth="1" style="22" min="2" max="2"/>
    <col width="20" customWidth="1" style="22" min="3" max="3"/>
    <col width="20" customWidth="1" style="22" min="4" max="4"/>
    <col width="20" customWidth="1" style="22" min="5" max="5"/>
    <col width="32" customWidth="1" style="22" min="6" max="6"/>
    <col width="28" customWidth="1" style="22" min="7" max="7"/>
    <col width="28" customWidth="1" style="22" min="9" max="9"/>
    <col width="64" customWidth="1" style="22" min="10" max="10"/>
  </cols>
  <sheetData>
    <row r="1">
      <c r="A1" s="42" t="inlineStr">
        <is>
          <t>Year</t>
        </is>
      </c>
      <c r="B1" s="42" t="inlineStr">
        <is>
          <t>Populated events</t>
        </is>
      </c>
      <c r="C1" s="42" t="inlineStr">
        <is>
          <t>Fatalities recorded</t>
        </is>
      </c>
      <c r="D1" s="42" t="inlineStr">
        <is>
          <t>Unknown-cause rows</t>
        </is>
      </c>
      <c r="E1" s="42" t="inlineStr">
        <is>
          <t>Human-factor rows</t>
        </is>
      </c>
      <c r="F1" s="42" t="inlineStr">
        <is>
          <t>Info/digital causal or contributory rows</t>
        </is>
      </c>
      <c r="G1" s="42" t="inlineStr">
        <is>
          <t>Coverage status</t>
        </is>
      </c>
      <c r="I1" s="62" t="inlineStr">
        <is>
          <t>READ THIS BEFORE GRAPHING</t>
        </is>
      </c>
      <c r="J1" s="1" t="n"/>
    </row>
    <row r="2">
      <c r="A2" s="11" t="n">
        <v>2016</v>
      </c>
      <c r="B2" s="11">
        <f>COUNTIFS(Military_Official_Ledger!$A$2:$A$500,"&gt;=2016-01-01",Military_Official_Ledger!$A$2:$A$500,"&lt;=2016-12-31")</f>
        <v/>
      </c>
      <c r="C2" s="11">
        <f>SUMIFS(Military_Official_Ledger!$F$2:$F$500,Military_Official_Ledger!$A$2:$A$500,"&gt;=2016-01-01",Military_Official_Ledger!$A$2:$A$500,"&lt;=2016-12-31")</f>
        <v/>
      </c>
      <c r="D2" s="11">
        <f>COUNTIFS(Military_Official_Ledger!$A$2:$A$500,"&gt;=2016-01-01",Military_Official_Ledger!$A$2:$A$500,"&lt;=2016-12-31",Military_Official_Ledger!$I$2:$I$500,"unknown_investigation")</f>
        <v/>
      </c>
      <c r="E2" s="11">
        <f>COUNTIFS(Military_Official_Ledger!$A$2:$A$500,"&gt;=2016-01-01",Military_Official_Ledger!$A$2:$A$500,"&lt;=2016-12-31",Military_Official_Ledger!$I$2:$I$500,"human_factors")</f>
        <v/>
      </c>
      <c r="F2" s="11">
        <f>COUNTIFS(Military_Official_Ledger!$A$2:$A$500,"&gt;=2016-01-01",Military_Official_Ledger!$A$2:$A$500,"&lt;=2016-12-31",Military_Official_Ledger!$K$2:$K$500,"confirmed causal")+COUNTIFS(Military_Official_Ledger!$A$2:$A$500,"&gt;=2016-01-01",Military_Official_Ledger!$A$2:$A$500,"&lt;=2016-12-31",Military_Official_Ledger!$K$2:$K$500,"confirmed contributory")</f>
        <v/>
      </c>
      <c r="G2" s="11" t="inlineStr">
        <is>
          <t>partial — not NATO-complete</t>
        </is>
      </c>
      <c r="I2" s="48" t="inlineStr">
        <is>
          <t>Current status</t>
        </is>
      </c>
      <c r="J2" s="11" t="inlineStr">
        <is>
          <t>Substantially populated seed, NOT exhaustive NATO-wide series.</t>
        </is>
      </c>
    </row>
    <row r="3">
      <c r="A3" s="11" t="n">
        <v>2017</v>
      </c>
      <c r="B3" s="11">
        <f>COUNTIFS(Military_Official_Ledger!$A$2:$A$500,"&gt;=2017-01-01",Military_Official_Ledger!$A$2:$A$500,"&lt;=2017-12-31")</f>
        <v/>
      </c>
      <c r="C3" s="11">
        <f>SUMIFS(Military_Official_Ledger!$F$2:$F$500,Military_Official_Ledger!$A$2:$A$500,"&gt;=2017-01-01",Military_Official_Ledger!$A$2:$A$500,"&lt;=2017-12-31")</f>
        <v/>
      </c>
      <c r="D3" s="11">
        <f>COUNTIFS(Military_Official_Ledger!$A$2:$A$500,"&gt;=2017-01-01",Military_Official_Ledger!$A$2:$A$500,"&lt;=2017-12-31",Military_Official_Ledger!$I$2:$I$500,"unknown_investigation")</f>
        <v/>
      </c>
      <c r="E3" s="11">
        <f>COUNTIFS(Military_Official_Ledger!$A$2:$A$500,"&gt;=2017-01-01",Military_Official_Ledger!$A$2:$A$500,"&lt;=2017-12-31",Military_Official_Ledger!$I$2:$I$500,"human_factors")</f>
        <v/>
      </c>
      <c r="F3" s="11">
        <f>COUNTIFS(Military_Official_Ledger!$A$2:$A$500,"&gt;=2017-01-01",Military_Official_Ledger!$A$2:$A$500,"&lt;=2017-12-31",Military_Official_Ledger!$K$2:$K$500,"confirmed causal")+COUNTIFS(Military_Official_Ledger!$A$2:$A$500,"&gt;=2017-01-01",Military_Official_Ledger!$A$2:$A$500,"&lt;=2017-12-31",Military_Official_Ledger!$K$2:$K$500,"confirmed contributory")</f>
        <v/>
      </c>
      <c r="G3" s="11" t="inlineStr">
        <is>
          <t>partial — not NATO-complete</t>
        </is>
      </c>
      <c r="I3" s="48" t="inlineStr">
        <is>
          <t>Safe use</t>
        </is>
      </c>
      <c r="J3" s="11" t="inlineStr">
        <is>
          <t>Use rows as identified comparators and causal examples.</t>
        </is>
      </c>
    </row>
    <row r="4">
      <c r="A4" s="11" t="n">
        <v>2018</v>
      </c>
      <c r="B4" s="11">
        <f>COUNTIFS(Military_Official_Ledger!$A$2:$A$500,"&gt;=2018-01-01",Military_Official_Ledger!$A$2:$A$500,"&lt;=2018-12-31")</f>
        <v/>
      </c>
      <c r="C4" s="11">
        <f>SUMIFS(Military_Official_Ledger!$F$2:$F$500,Military_Official_Ledger!$A$2:$A$500,"&gt;=2018-01-01",Military_Official_Ledger!$A$2:$A$500,"&lt;=2018-12-31")</f>
        <v/>
      </c>
      <c r="D4" s="11">
        <f>COUNTIFS(Military_Official_Ledger!$A$2:$A$500,"&gt;=2018-01-01",Military_Official_Ledger!$A$2:$A$500,"&lt;=2018-12-31",Military_Official_Ledger!$I$2:$I$500,"unknown_investigation")</f>
        <v/>
      </c>
      <c r="E4" s="11">
        <f>COUNTIFS(Military_Official_Ledger!$A$2:$A$500,"&gt;=2018-01-01",Military_Official_Ledger!$A$2:$A$500,"&lt;=2018-12-31",Military_Official_Ledger!$I$2:$I$500,"human_factors")</f>
        <v/>
      </c>
      <c r="F4" s="11">
        <f>COUNTIFS(Military_Official_Ledger!$A$2:$A$500,"&gt;=2018-01-01",Military_Official_Ledger!$A$2:$A$500,"&lt;=2018-12-31",Military_Official_Ledger!$K$2:$K$500,"confirmed causal")+COUNTIFS(Military_Official_Ledger!$A$2:$A$500,"&gt;=2018-01-01",Military_Official_Ledger!$A$2:$A$500,"&lt;=2018-12-31",Military_Official_Ledger!$K$2:$K$500,"confirmed contributory")</f>
        <v/>
      </c>
      <c r="G4" s="11" t="inlineStr">
        <is>
          <t>partial — not NATO-complete</t>
        </is>
      </c>
      <c r="I4" s="48" t="inlineStr">
        <is>
          <t>Unsafe use</t>
        </is>
      </c>
      <c r="J4" s="11" t="inlineStr">
        <is>
          <t>Do not yet compare raw annual counts as accident rates.</t>
        </is>
      </c>
    </row>
    <row r="5">
      <c r="A5" s="11" t="n">
        <v>2019</v>
      </c>
      <c r="B5" s="11">
        <f>COUNTIFS(Military_Official_Ledger!$A$2:$A$500,"&gt;=2019-01-01",Military_Official_Ledger!$A$2:$A$500,"&lt;=2019-12-31")</f>
        <v/>
      </c>
      <c r="C5" s="11">
        <f>SUMIFS(Military_Official_Ledger!$F$2:$F$500,Military_Official_Ledger!$A$2:$A$500,"&gt;=2019-01-01",Military_Official_Ledger!$A$2:$A$500,"&lt;=2019-12-31")</f>
        <v/>
      </c>
      <c r="D5" s="11">
        <f>COUNTIFS(Military_Official_Ledger!$A$2:$A$500,"&gt;=2019-01-01",Military_Official_Ledger!$A$2:$A$500,"&lt;=2019-12-31",Military_Official_Ledger!$I$2:$I$500,"unknown_investigation")</f>
        <v/>
      </c>
      <c r="E5" s="11">
        <f>COUNTIFS(Military_Official_Ledger!$A$2:$A$500,"&gt;=2019-01-01",Military_Official_Ledger!$A$2:$A$500,"&lt;=2019-12-31",Military_Official_Ledger!$I$2:$I$500,"human_factors")</f>
        <v/>
      </c>
      <c r="F5" s="11">
        <f>COUNTIFS(Military_Official_Ledger!$A$2:$A$500,"&gt;=2019-01-01",Military_Official_Ledger!$A$2:$A$500,"&lt;=2019-12-31",Military_Official_Ledger!$K$2:$K$500,"confirmed causal")+COUNTIFS(Military_Official_Ledger!$A$2:$A$500,"&gt;=2019-01-01",Military_Official_Ledger!$A$2:$A$500,"&lt;=2019-12-31",Military_Official_Ledger!$K$2:$K$500,"confirmed contributory")</f>
        <v/>
      </c>
      <c r="G5" s="11" t="inlineStr">
        <is>
          <t>partial — not NATO-complete</t>
        </is>
      </c>
      <c r="I5" s="48" t="inlineStr">
        <is>
          <t>Key finding already supported</t>
        </is>
      </c>
      <c r="J5" s="11" t="inlineStr">
        <is>
          <t>Information/navigation-system involvement in military accidents predates 2026.</t>
        </is>
      </c>
    </row>
    <row r="6">
      <c r="A6" s="11" t="n">
        <v>2020</v>
      </c>
      <c r="B6" s="11">
        <f>COUNTIFS(Military_Official_Ledger!$A$2:$A$500,"&gt;=2020-01-01",Military_Official_Ledger!$A$2:$A$500,"&lt;=2020-12-31")</f>
        <v/>
      </c>
      <c r="C6" s="11">
        <f>SUMIFS(Military_Official_Ledger!$F$2:$F$500,Military_Official_Ledger!$A$2:$A$500,"&gt;=2020-01-01",Military_Official_Ledger!$A$2:$A$500,"&lt;=2020-12-31")</f>
        <v/>
      </c>
      <c r="D6" s="11">
        <f>COUNTIFS(Military_Official_Ledger!$A$2:$A$500,"&gt;=2020-01-01",Military_Official_Ledger!$A$2:$A$500,"&lt;=2020-12-31",Military_Official_Ledger!$I$2:$I$500,"unknown_investigation")</f>
        <v/>
      </c>
      <c r="E6" s="11">
        <f>COUNTIFS(Military_Official_Ledger!$A$2:$A$500,"&gt;=2020-01-01",Military_Official_Ledger!$A$2:$A$500,"&lt;=2020-12-31",Military_Official_Ledger!$I$2:$I$500,"human_factors")</f>
        <v/>
      </c>
      <c r="F6" s="11">
        <f>COUNTIFS(Military_Official_Ledger!$A$2:$A$500,"&gt;=2020-01-01",Military_Official_Ledger!$A$2:$A$500,"&lt;=2020-12-31",Military_Official_Ledger!$K$2:$K$500,"confirmed causal")+COUNTIFS(Military_Official_Ledger!$A$2:$A$500,"&gt;=2020-01-01",Military_Official_Ledger!$A$2:$A$500,"&lt;=2020-12-31",Military_Official_Ledger!$K$2:$K$500,"confirmed contributory")</f>
        <v/>
      </c>
      <c r="G6" s="11" t="inlineStr">
        <is>
          <t>partial — not NATO-complete</t>
        </is>
      </c>
      <c r="I6" s="48" t="inlineStr">
        <is>
          <t>Critical example</t>
        </is>
      </c>
      <c r="J6" s="11" t="inlineStr">
        <is>
          <t>2020 F-16: degraded GPS tracking was an official substantial contributing factor, but no hostile jamming/spoofing attribution.</t>
        </is>
      </c>
    </row>
    <row r="7">
      <c r="A7" s="11" t="n">
        <v>2021</v>
      </c>
      <c r="B7" s="11">
        <f>COUNTIFS(Military_Official_Ledger!$A$2:$A$500,"&gt;=2021-01-01",Military_Official_Ledger!$A$2:$A$500,"&lt;=2021-12-31")</f>
        <v/>
      </c>
      <c r="C7" s="11">
        <f>SUMIFS(Military_Official_Ledger!$F$2:$F$500,Military_Official_Ledger!$A$2:$A$500,"&gt;=2021-01-01",Military_Official_Ledger!$A$2:$A$500,"&lt;=2021-12-31")</f>
        <v/>
      </c>
      <c r="D7" s="11">
        <f>COUNTIFS(Military_Official_Ledger!$A$2:$A$500,"&gt;=2021-01-01",Military_Official_Ledger!$A$2:$A$500,"&lt;=2021-12-31",Military_Official_Ledger!$I$2:$I$500,"unknown_investigation")</f>
        <v/>
      </c>
      <c r="E7" s="11">
        <f>COUNTIFS(Military_Official_Ledger!$A$2:$A$500,"&gt;=2021-01-01",Military_Official_Ledger!$A$2:$A$500,"&lt;=2021-12-31",Military_Official_Ledger!$I$2:$I$500,"human_factors")</f>
        <v/>
      </c>
      <c r="F7" s="11">
        <f>COUNTIFS(Military_Official_Ledger!$A$2:$A$500,"&gt;=2021-01-01",Military_Official_Ledger!$A$2:$A$500,"&lt;=2021-12-31",Military_Official_Ledger!$K$2:$K$500,"confirmed causal")+COUNTIFS(Military_Official_Ledger!$A$2:$A$500,"&gt;=2021-01-01",Military_Official_Ledger!$A$2:$A$500,"&lt;=2021-12-31",Military_Official_Ledger!$K$2:$K$500,"confirmed contributory")</f>
        <v/>
      </c>
      <c r="G7" s="11" t="inlineStr">
        <is>
          <t>partial — not NATO-complete</t>
        </is>
      </c>
    </row>
    <row r="8">
      <c r="A8" s="11" t="n">
        <v>2022</v>
      </c>
      <c r="B8" s="11">
        <f>COUNTIFS(Military_Official_Ledger!$A$2:$A$500,"&gt;=2022-01-01",Military_Official_Ledger!$A$2:$A$500,"&lt;=2022-12-31")</f>
        <v/>
      </c>
      <c r="C8" s="11">
        <f>SUMIFS(Military_Official_Ledger!$F$2:$F$500,Military_Official_Ledger!$A$2:$A$500,"&gt;=2022-01-01",Military_Official_Ledger!$A$2:$A$500,"&lt;=2022-12-31")</f>
        <v/>
      </c>
      <c r="D8" s="11">
        <f>COUNTIFS(Military_Official_Ledger!$A$2:$A$500,"&gt;=2022-01-01",Military_Official_Ledger!$A$2:$A$500,"&lt;=2022-12-31",Military_Official_Ledger!$I$2:$I$500,"unknown_investigation")</f>
        <v/>
      </c>
      <c r="E8" s="11">
        <f>COUNTIFS(Military_Official_Ledger!$A$2:$A$500,"&gt;=2022-01-01",Military_Official_Ledger!$A$2:$A$500,"&lt;=2022-12-31",Military_Official_Ledger!$I$2:$I$500,"human_factors")</f>
        <v/>
      </c>
      <c r="F8" s="11">
        <f>COUNTIFS(Military_Official_Ledger!$A$2:$A$500,"&gt;=2022-01-01",Military_Official_Ledger!$A$2:$A$500,"&lt;=2022-12-31",Military_Official_Ledger!$K$2:$K$500,"confirmed causal")+COUNTIFS(Military_Official_Ledger!$A$2:$A$500,"&gt;=2022-01-01",Military_Official_Ledger!$A$2:$A$500,"&lt;=2022-12-31",Military_Official_Ledger!$K$2:$K$500,"confirmed contributory")</f>
        <v/>
      </c>
      <c r="G8" s="11" t="inlineStr">
        <is>
          <t>partial — not NATO-complete</t>
        </is>
      </c>
    </row>
    <row r="9">
      <c r="A9" s="11" t="n">
        <v>2023</v>
      </c>
      <c r="B9" s="11">
        <f>COUNTIFS(Military_Official_Ledger!$A$2:$A$500,"&gt;=2023-01-01",Military_Official_Ledger!$A$2:$A$500,"&lt;=2023-12-31")</f>
        <v/>
      </c>
      <c r="C9" s="11">
        <f>SUMIFS(Military_Official_Ledger!$F$2:$F$500,Military_Official_Ledger!$A$2:$A$500,"&gt;=2023-01-01",Military_Official_Ledger!$A$2:$A$500,"&lt;=2023-12-31")</f>
        <v/>
      </c>
      <c r="D9" s="11">
        <f>COUNTIFS(Military_Official_Ledger!$A$2:$A$500,"&gt;=2023-01-01",Military_Official_Ledger!$A$2:$A$500,"&lt;=2023-12-31",Military_Official_Ledger!$I$2:$I$500,"unknown_investigation")</f>
        <v/>
      </c>
      <c r="E9" s="11">
        <f>COUNTIFS(Military_Official_Ledger!$A$2:$A$500,"&gt;=2023-01-01",Military_Official_Ledger!$A$2:$A$500,"&lt;=2023-12-31",Military_Official_Ledger!$I$2:$I$500,"human_factors")</f>
        <v/>
      </c>
      <c r="F9" s="11">
        <f>COUNTIFS(Military_Official_Ledger!$A$2:$A$500,"&gt;=2023-01-01",Military_Official_Ledger!$A$2:$A$500,"&lt;=2023-12-31",Military_Official_Ledger!$K$2:$K$500,"confirmed causal")+COUNTIFS(Military_Official_Ledger!$A$2:$A$500,"&gt;=2023-01-01",Military_Official_Ledger!$A$2:$A$500,"&lt;=2023-12-31",Military_Official_Ledger!$K$2:$K$500,"confirmed contributory")</f>
        <v/>
      </c>
      <c r="G9" s="11" t="inlineStr">
        <is>
          <t>partial — not NATO-complete</t>
        </is>
      </c>
    </row>
    <row r="10">
      <c r="A10" s="11" t="n">
        <v>2024</v>
      </c>
      <c r="B10" s="11">
        <f>COUNTIFS(Military_Official_Ledger!$A$2:$A$500,"&gt;=2024-01-01",Military_Official_Ledger!$A$2:$A$500,"&lt;=2024-12-31")</f>
        <v/>
      </c>
      <c r="C10" s="11">
        <f>SUMIFS(Military_Official_Ledger!$F$2:$F$500,Military_Official_Ledger!$A$2:$A$500,"&gt;=2024-01-01",Military_Official_Ledger!$A$2:$A$500,"&lt;=2024-12-31")</f>
        <v/>
      </c>
      <c r="D10" s="11">
        <f>COUNTIFS(Military_Official_Ledger!$A$2:$A$500,"&gt;=2024-01-01",Military_Official_Ledger!$A$2:$A$500,"&lt;=2024-12-31",Military_Official_Ledger!$I$2:$I$500,"unknown_investigation")</f>
        <v/>
      </c>
      <c r="E10" s="11">
        <f>COUNTIFS(Military_Official_Ledger!$A$2:$A$500,"&gt;=2024-01-01",Military_Official_Ledger!$A$2:$A$500,"&lt;=2024-12-31",Military_Official_Ledger!$I$2:$I$500,"human_factors")</f>
        <v/>
      </c>
      <c r="F10" s="11">
        <f>COUNTIFS(Military_Official_Ledger!$A$2:$A$500,"&gt;=2024-01-01",Military_Official_Ledger!$A$2:$A$500,"&lt;=2024-12-31",Military_Official_Ledger!$K$2:$K$500,"confirmed causal")+COUNTIFS(Military_Official_Ledger!$A$2:$A$500,"&gt;=2024-01-01",Military_Official_Ledger!$A$2:$A$500,"&lt;=2024-12-31",Military_Official_Ledger!$K$2:$K$500,"confirmed contributory")</f>
        <v/>
      </c>
      <c r="G10" s="11" t="inlineStr">
        <is>
          <t>partial — not NATO-complete</t>
        </is>
      </c>
    </row>
    <row r="11">
      <c r="A11" s="11" t="n">
        <v>2025</v>
      </c>
      <c r="B11" s="11">
        <f>COUNTIFS(Military_Official_Ledger!$A$2:$A$500,"&gt;=2025-01-01",Military_Official_Ledger!$A$2:$A$500,"&lt;=2025-12-31")</f>
        <v/>
      </c>
      <c r="C11" s="11">
        <f>SUMIFS(Military_Official_Ledger!$F$2:$F$500,Military_Official_Ledger!$A$2:$A$500,"&gt;=2025-01-01",Military_Official_Ledger!$A$2:$A$500,"&lt;=2025-12-31")</f>
        <v/>
      </c>
      <c r="D11" s="11">
        <f>COUNTIFS(Military_Official_Ledger!$A$2:$A$500,"&gt;=2025-01-01",Military_Official_Ledger!$A$2:$A$500,"&lt;=2025-12-31",Military_Official_Ledger!$I$2:$I$500,"unknown_investigation")</f>
        <v/>
      </c>
      <c r="E11" s="11">
        <f>COUNTIFS(Military_Official_Ledger!$A$2:$A$500,"&gt;=2025-01-01",Military_Official_Ledger!$A$2:$A$500,"&lt;=2025-12-31",Military_Official_Ledger!$I$2:$I$500,"human_factors")</f>
        <v/>
      </c>
      <c r="F11" s="11">
        <f>COUNTIFS(Military_Official_Ledger!$A$2:$A$500,"&gt;=2025-01-01",Military_Official_Ledger!$A$2:$A$500,"&lt;=2025-12-31",Military_Official_Ledger!$K$2:$K$500,"confirmed causal")+COUNTIFS(Military_Official_Ledger!$A$2:$A$500,"&gt;=2025-01-01",Military_Official_Ledger!$A$2:$A$500,"&lt;=2025-12-31",Military_Official_Ledger!$K$2:$K$500,"confirmed contributory")</f>
        <v/>
      </c>
      <c r="G11" s="11" t="inlineStr">
        <is>
          <t>partial — not NATO-complete</t>
        </is>
      </c>
    </row>
    <row r="12">
      <c r="A12" s="11" t="n">
        <v>2026</v>
      </c>
      <c r="B12" s="11">
        <f>COUNTIFS(Military_Official_Ledger!$A$2:$A$500,"&gt;=2026-01-01",Military_Official_Ledger!$A$2:$A$500,"&lt;=2026-12-31")</f>
        <v/>
      </c>
      <c r="C12" s="11">
        <f>SUMIFS(Military_Official_Ledger!$F$2:$F$500,Military_Official_Ledger!$A$2:$A$500,"&gt;=2026-01-01",Military_Official_Ledger!$A$2:$A$500,"&lt;=2026-12-31")</f>
        <v/>
      </c>
      <c r="D12" s="11">
        <f>COUNTIFS(Military_Official_Ledger!$A$2:$A$500,"&gt;=2026-01-01",Military_Official_Ledger!$A$2:$A$500,"&lt;=2026-12-31",Military_Official_Ledger!$I$2:$I$500,"unknown_investigation")</f>
        <v/>
      </c>
      <c r="E12" s="11">
        <f>COUNTIFS(Military_Official_Ledger!$A$2:$A$500,"&gt;=2026-01-01",Military_Official_Ledger!$A$2:$A$500,"&lt;=2026-12-31",Military_Official_Ledger!$I$2:$I$500,"human_factors")</f>
        <v/>
      </c>
      <c r="F12" s="11">
        <f>COUNTIFS(Military_Official_Ledger!$A$2:$A$500,"&gt;=2026-01-01",Military_Official_Ledger!$A$2:$A$500,"&lt;=2026-12-31",Military_Official_Ledger!$K$2:$K$500,"confirmed causal")+COUNTIFS(Military_Official_Ledger!$A$2:$A$500,"&gt;=2026-01-01",Military_Official_Ledger!$A$2:$A$500,"&lt;=2026-12-31",Military_Official_Ledger!$K$2:$K$500,"confirmed contributory")</f>
        <v/>
      </c>
      <c r="G12" s="11" t="inlineStr">
        <is>
          <t>partial — not NATO-complete</t>
        </is>
      </c>
    </row>
  </sheetData>
  <mergeCells count="1">
    <mergeCell ref="I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style="22" min="1" max="1"/>
    <col width="24" customWidth="1" style="22" min="2" max="2"/>
    <col width="34" customWidth="1" style="22" min="3" max="3"/>
    <col width="20" customWidth="1" style="22" min="4" max="4"/>
    <col width="24" customWidth="1" style="22" min="5" max="5"/>
    <col width="52" customWidth="1" style="22" min="6" max="6"/>
  </cols>
  <sheetData>
    <row r="1">
      <c r="A1" s="54" t="inlineStr">
        <is>
          <t>Country</t>
        </is>
      </c>
      <c r="B1" s="54" t="inlineStr">
        <is>
          <t>NATO during study period</t>
        </is>
      </c>
      <c r="C1" s="54" t="inlineStr">
        <is>
          <t>Official investigation source identified</t>
        </is>
      </c>
      <c r="D1" s="54" t="inlineStr">
        <is>
          <t>Event rows seeded</t>
        </is>
      </c>
      <c r="E1" s="54" t="inlineStr">
        <is>
          <t>Cause-level data present</t>
        </is>
      </c>
      <c r="F1" s="54" t="inlineStr">
        <is>
          <t>Status / limitation</t>
        </is>
      </c>
    </row>
    <row r="2">
      <c r="A2" s="11" t="inlineStr">
        <is>
          <t>United Kingdom</t>
        </is>
      </c>
      <c r="B2" s="11" t="inlineStr">
        <is>
          <t>yes</t>
        </is>
      </c>
      <c r="C2" s="11" t="inlineStr">
        <is>
          <t>yes</t>
        </is>
      </c>
      <c r="D2" s="11" t="inlineStr">
        <is>
          <t>yes</t>
        </is>
      </c>
      <c r="E2" s="11" t="inlineStr">
        <is>
          <t>yes</t>
        </is>
      </c>
      <c r="F2" s="11" t="inlineStr">
        <is>
          <t>Good official archive; further event extraction possible</t>
        </is>
      </c>
    </row>
    <row r="3">
      <c r="A3" s="11" t="inlineStr">
        <is>
          <t>United States</t>
        </is>
      </c>
      <c r="B3" s="11" t="inlineStr">
        <is>
          <t>yes</t>
        </is>
      </c>
      <c r="C3" s="11" t="inlineStr">
        <is>
          <t>yes</t>
        </is>
      </c>
      <c r="D3" s="11" t="inlineStr">
        <is>
          <t>yes</t>
        </is>
      </c>
      <c r="E3" s="11" t="inlineStr">
        <is>
          <t>yes</t>
        </is>
      </c>
      <c r="F3" s="11" t="inlineStr">
        <is>
          <t>Strong AIB coverage; not yet exhaustive across Navy/Army/Marine aviation</t>
        </is>
      </c>
    </row>
    <row r="4">
      <c r="A4" s="11" t="inlineStr">
        <is>
          <t>France</t>
        </is>
      </c>
      <c r="B4" s="11" t="inlineStr">
        <is>
          <t>yes</t>
        </is>
      </c>
      <c r="C4" s="11" t="inlineStr">
        <is>
          <t>yes</t>
        </is>
      </c>
      <c r="D4" s="11" t="inlineStr">
        <is>
          <t>yes</t>
        </is>
      </c>
      <c r="E4" s="11" t="inlineStr">
        <is>
          <t>yes</t>
        </is>
      </c>
      <c r="F4" s="11" t="inlineStr">
        <is>
          <t>BEA-É annual reports and individual safety investigations available</t>
        </is>
      </c>
    </row>
    <row r="5">
      <c r="A5" s="11" t="inlineStr">
        <is>
          <t>Canada</t>
        </is>
      </c>
      <c r="B5" s="11" t="inlineStr">
        <is>
          <t>yes</t>
        </is>
      </c>
      <c r="C5" s="11" t="inlineStr">
        <is>
          <t>yes</t>
        </is>
      </c>
      <c r="D5" s="11" t="inlineStr">
        <is>
          <t>yes</t>
        </is>
      </c>
      <c r="E5" s="11" t="inlineStr">
        <is>
          <t>yes</t>
        </is>
      </c>
      <c r="F5" s="11" t="inlineStr">
        <is>
          <t>RCAF Flight Safety archive available</t>
        </is>
      </c>
    </row>
    <row r="6">
      <c r="A6" s="11" t="inlineStr">
        <is>
          <t>Finland</t>
        </is>
      </c>
      <c r="B6" s="11" t="inlineStr">
        <is>
          <t>from Apr 2023</t>
        </is>
      </c>
      <c r="C6" s="11" t="inlineStr">
        <is>
          <t>yes</t>
        </is>
      </c>
      <c r="D6" s="11" t="inlineStr">
        <is>
          <t>yes</t>
        </is>
      </c>
      <c r="E6" s="11" t="inlineStr">
        <is>
          <t>partial</t>
        </is>
      </c>
      <c r="F6" s="11" t="inlineStr">
        <is>
          <t>Only NATO-period events count toward NATO baseline</t>
        </is>
      </c>
    </row>
    <row r="7">
      <c r="A7" s="11" t="inlineStr">
        <is>
          <t>Greece</t>
        </is>
      </c>
      <c r="B7" s="11" t="inlineStr">
        <is>
          <t>yes</t>
        </is>
      </c>
      <c r="C7" s="11" t="inlineStr">
        <is>
          <t>yes</t>
        </is>
      </c>
      <c r="D7" s="11" t="inlineStr">
        <is>
          <t>yes</t>
        </is>
      </c>
      <c r="E7" s="11" t="inlineStr">
        <is>
          <t>no final cause yet</t>
        </is>
      </c>
      <c r="F7" s="11" t="inlineStr">
        <is>
          <t>Occurrence seeded; final-investigation search required</t>
        </is>
      </c>
    </row>
    <row r="8">
      <c r="A8" s="11" t="inlineStr">
        <is>
          <t>Poland</t>
        </is>
      </c>
      <c r="B8" s="11" t="inlineStr">
        <is>
          <t>yes</t>
        </is>
      </c>
      <c r="C8" s="11" t="inlineStr">
        <is>
          <t>partial</t>
        </is>
      </c>
      <c r="D8" s="11" t="inlineStr">
        <is>
          <t>yes</t>
        </is>
      </c>
      <c r="E8" s="11" t="inlineStr">
        <is>
          <t>no final cause yet</t>
        </is>
      </c>
      <c r="F8" s="11" t="inlineStr">
        <is>
          <t>Occurrence seeded; official final-investigation source still required</t>
        </is>
      </c>
    </row>
    <row r="9">
      <c r="A9" s="11" t="inlineStr">
        <is>
          <t>Germany</t>
        </is>
      </c>
      <c r="B9" s="11" t="inlineStr">
        <is>
          <t>yes</t>
        </is>
      </c>
      <c r="C9" s="11" t="inlineStr">
        <is>
          <t>not yet mapped</t>
        </is>
      </c>
      <c r="D9" s="11" t="inlineStr">
        <is>
          <t>no</t>
        </is>
      </c>
      <c r="E9" s="11" t="inlineStr">
        <is>
          <t>no</t>
        </is>
      </c>
      <c r="F9" s="11" t="inlineStr">
        <is>
          <t>OPEN</t>
        </is>
      </c>
    </row>
    <row r="10">
      <c r="A10" s="11" t="inlineStr">
        <is>
          <t>Italy</t>
        </is>
      </c>
      <c r="B10" s="11" t="inlineStr">
        <is>
          <t>yes</t>
        </is>
      </c>
      <c r="C10" s="11" t="inlineStr">
        <is>
          <t>not yet mapped</t>
        </is>
      </c>
      <c r="D10" s="11" t="inlineStr">
        <is>
          <t>no</t>
        </is>
      </c>
      <c r="E10" s="11" t="inlineStr">
        <is>
          <t>no</t>
        </is>
      </c>
      <c r="F10" s="11" t="inlineStr">
        <is>
          <t>OPEN</t>
        </is>
      </c>
    </row>
    <row r="11">
      <c r="A11" s="11" t="inlineStr">
        <is>
          <t>Spain</t>
        </is>
      </c>
      <c r="B11" s="11" t="inlineStr">
        <is>
          <t>yes</t>
        </is>
      </c>
      <c r="C11" s="11" t="inlineStr">
        <is>
          <t>not yet mapped</t>
        </is>
      </c>
      <c r="D11" s="11" t="inlineStr">
        <is>
          <t>no</t>
        </is>
      </c>
      <c r="E11" s="11" t="inlineStr">
        <is>
          <t>no</t>
        </is>
      </c>
      <c r="F11" s="11" t="inlineStr">
        <is>
          <t>OPEN</t>
        </is>
      </c>
    </row>
    <row r="12">
      <c r="A12" s="11" t="inlineStr">
        <is>
          <t>Türkiye</t>
        </is>
      </c>
      <c r="B12" s="11" t="inlineStr">
        <is>
          <t>yes</t>
        </is>
      </c>
      <c r="C12" s="11" t="inlineStr">
        <is>
          <t>not yet mapped</t>
        </is>
      </c>
      <c r="D12" s="11" t="inlineStr">
        <is>
          <t>no</t>
        </is>
      </c>
      <c r="E12" s="11" t="inlineStr">
        <is>
          <t>no</t>
        </is>
      </c>
      <c r="F12" s="11" t="inlineStr">
        <is>
          <t>OPEN</t>
        </is>
      </c>
    </row>
    <row r="13">
      <c r="A13" s="11" t="inlineStr">
        <is>
          <t>Netherlands</t>
        </is>
      </c>
      <c r="B13" s="11" t="inlineStr">
        <is>
          <t>yes</t>
        </is>
      </c>
      <c r="C13" s="11" t="inlineStr">
        <is>
          <t>not yet mapped</t>
        </is>
      </c>
      <c r="D13" s="11" t="inlineStr">
        <is>
          <t>no</t>
        </is>
      </c>
      <c r="E13" s="11" t="inlineStr">
        <is>
          <t>no</t>
        </is>
      </c>
      <c r="F13" s="11" t="inlineStr">
        <is>
          <t>OPEN</t>
        </is>
      </c>
    </row>
    <row r="14">
      <c r="A14" s="11" t="inlineStr">
        <is>
          <t>Belgium</t>
        </is>
      </c>
      <c r="B14" s="11" t="inlineStr">
        <is>
          <t>yes</t>
        </is>
      </c>
      <c r="C14" s="11" t="inlineStr">
        <is>
          <t>not yet mapped</t>
        </is>
      </c>
      <c r="D14" s="11" t="inlineStr">
        <is>
          <t>no</t>
        </is>
      </c>
      <c r="E14" s="11" t="inlineStr">
        <is>
          <t>no</t>
        </is>
      </c>
      <c r="F14" s="11" t="inlineStr">
        <is>
          <t>OPEN</t>
        </is>
      </c>
    </row>
    <row r="15">
      <c r="A15" s="11" t="inlineStr">
        <is>
          <t>Norway</t>
        </is>
      </c>
      <c r="B15" s="11" t="inlineStr">
        <is>
          <t>yes</t>
        </is>
      </c>
      <c r="C15" s="11" t="inlineStr">
        <is>
          <t>not yet mapped</t>
        </is>
      </c>
      <c r="D15" s="11" t="inlineStr">
        <is>
          <t>no</t>
        </is>
      </c>
      <c r="E15" s="11" t="inlineStr">
        <is>
          <t>no</t>
        </is>
      </c>
      <c r="F15" s="11" t="inlineStr">
        <is>
          <t>OPEN</t>
        </is>
      </c>
    </row>
    <row r="16">
      <c r="A16" s="11" t="inlineStr">
        <is>
          <t>Denmark</t>
        </is>
      </c>
      <c r="B16" s="11" t="inlineStr">
        <is>
          <t>yes</t>
        </is>
      </c>
      <c r="C16" s="11" t="inlineStr">
        <is>
          <t>not yet mapped</t>
        </is>
      </c>
      <c r="D16" s="11" t="inlineStr">
        <is>
          <t>no</t>
        </is>
      </c>
      <c r="E16" s="11" t="inlineStr">
        <is>
          <t>no</t>
        </is>
      </c>
      <c r="F16" s="11" t="inlineStr">
        <is>
          <t>OPEN</t>
        </is>
      </c>
    </row>
    <row r="17">
      <c r="A17" s="11" t="inlineStr">
        <is>
          <t>Czechia</t>
        </is>
      </c>
      <c r="B17" s="11" t="inlineStr">
        <is>
          <t>yes</t>
        </is>
      </c>
      <c r="C17" s="11" t="inlineStr">
        <is>
          <t>not yet mapped</t>
        </is>
      </c>
      <c r="D17" s="11" t="inlineStr">
        <is>
          <t>no</t>
        </is>
      </c>
      <c r="E17" s="11" t="inlineStr">
        <is>
          <t>no</t>
        </is>
      </c>
      <c r="F17" s="11" t="inlineStr">
        <is>
          <t>OPEN</t>
        </is>
      </c>
    </row>
    <row r="18">
      <c r="A18" s="11" t="inlineStr">
        <is>
          <t>Hungary</t>
        </is>
      </c>
      <c r="B18" s="11" t="inlineStr">
        <is>
          <t>yes</t>
        </is>
      </c>
      <c r="C18" s="11" t="inlineStr">
        <is>
          <t>not yet mapped</t>
        </is>
      </c>
      <c r="D18" s="11" t="inlineStr">
        <is>
          <t>no</t>
        </is>
      </c>
      <c r="E18" s="11" t="inlineStr">
        <is>
          <t>no</t>
        </is>
      </c>
      <c r="F18" s="11" t="inlineStr">
        <is>
          <t>OPEN</t>
        </is>
      </c>
    </row>
    <row r="19">
      <c r="A19" s="11" t="inlineStr">
        <is>
          <t>Romania</t>
        </is>
      </c>
      <c r="B19" s="11" t="inlineStr">
        <is>
          <t>yes</t>
        </is>
      </c>
      <c r="C19" s="11" t="inlineStr">
        <is>
          <t>not yet mapped</t>
        </is>
      </c>
      <c r="D19" s="11" t="inlineStr">
        <is>
          <t>no</t>
        </is>
      </c>
      <c r="E19" s="11" t="inlineStr">
        <is>
          <t>no</t>
        </is>
      </c>
      <c r="F19" s="11" t="inlineStr">
        <is>
          <t>OPEN</t>
        </is>
      </c>
    </row>
    <row r="20">
      <c r="A20" s="11" t="inlineStr">
        <is>
          <t>Portugal</t>
        </is>
      </c>
      <c r="B20" s="11" t="inlineStr">
        <is>
          <t>yes</t>
        </is>
      </c>
      <c r="C20" s="11" t="inlineStr">
        <is>
          <t>not yet mapped</t>
        </is>
      </c>
      <c r="D20" s="11" t="inlineStr">
        <is>
          <t>no</t>
        </is>
      </c>
      <c r="E20" s="11" t="inlineStr">
        <is>
          <t>no</t>
        </is>
      </c>
      <c r="F20" s="11" t="inlineStr">
        <is>
          <t>OPEN</t>
        </is>
      </c>
    </row>
    <row r="21">
      <c r="A21" s="11" t="inlineStr">
        <is>
          <t>Baltic members</t>
        </is>
      </c>
      <c r="B21" s="11" t="inlineStr">
        <is>
          <t>yes</t>
        </is>
      </c>
      <c r="C21" s="11" t="inlineStr">
        <is>
          <t>not yet mapped</t>
        </is>
      </c>
      <c r="D21" s="11" t="inlineStr">
        <is>
          <t>no</t>
        </is>
      </c>
      <c r="E21" s="11" t="inlineStr">
        <is>
          <t>no</t>
        </is>
      </c>
      <c r="F21" s="11" t="inlineStr">
        <is>
          <t>Likely low fixed-wing accident counts; still must be checked</t>
        </is>
      </c>
    </row>
    <row r="22">
      <c r="A22" s="11" t="inlineStr">
        <is>
          <t>Sweden</t>
        </is>
      </c>
      <c r="B22" s="11" t="inlineStr">
        <is>
          <t>from Mar 2024</t>
        </is>
      </c>
      <c r="C22" s="11" t="inlineStr">
        <is>
          <t>not yet mapped</t>
        </is>
      </c>
      <c r="D22" s="11" t="inlineStr">
        <is>
          <t>no</t>
        </is>
      </c>
      <c r="E22" s="11" t="inlineStr">
        <is>
          <t>no</t>
        </is>
      </c>
      <c r="F22" s="11" t="inlineStr">
        <is>
          <t>Only NATO-period events count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style="22" min="1" max="1"/>
    <col width="28" customWidth="1" style="22" min="2" max="2"/>
    <col width="65" customWidth="1" style="22" min="3" max="3"/>
    <col width="38" customWidth="1" style="22" min="4" max="4"/>
    <col width="28" customWidth="1" style="22" min="6" max="6"/>
    <col width="62" customWidth="1" style="22" min="7" max="7"/>
  </cols>
  <sheetData>
    <row r="1">
      <c r="A1" s="54" t="inlineStr">
        <is>
          <t>Year</t>
        </is>
      </c>
      <c r="B1" s="54" t="inlineStr">
        <is>
          <t>Safety investigations opened</t>
        </is>
      </c>
      <c r="C1" s="54" t="inlineStr">
        <is>
          <t>Fatality context</t>
        </is>
      </c>
      <c r="D1" s="54" t="inlineStr">
        <is>
          <t>Source / note</t>
        </is>
      </c>
      <c r="F1" s="53" t="inlineStr">
        <is>
          <t>Official source</t>
        </is>
      </c>
      <c r="G1" s="53" t="inlineStr">
        <is>
          <t>URL</t>
        </is>
      </c>
    </row>
    <row r="2">
      <c r="A2" s="11" t="n">
        <v>2023</v>
      </c>
      <c r="B2" s="11" t="n">
        <v>16</v>
      </c>
      <c r="C2" s="11" t="inlineStr">
        <is>
          <t>BEA-É 2025 bilan states no deaths in 2023 among the comparison described</t>
        </is>
      </c>
      <c r="D2" s="11" t="inlineStr">
        <is>
          <t>Referenced in 2025 annual bilan</t>
        </is>
      </c>
      <c r="F2" t="inlineStr">
        <is>
          <t>BEA-É Bilan 2025</t>
        </is>
      </c>
      <c r="G2" t="inlineStr">
        <is>
          <t>https://www.defense.gouv.fr/sites/default/files/bea-e/Bilan%202025%20VFINALE_compressed-1.pdf</t>
        </is>
      </c>
    </row>
    <row r="3">
      <c r="A3" s="11" t="n">
        <v>2024</v>
      </c>
      <c r="B3" s="11" t="n">
        <v>19</v>
      </c>
      <c r="C3" s="11" t="inlineStr">
        <is>
          <t>Two Rafale pilots died in mid-air collision; one third-party death in helicopter rescue context</t>
        </is>
      </c>
      <c r="D3" s="11" t="inlineStr">
        <is>
          <t>BEA-É Bilan 2025</t>
        </is>
      </c>
      <c r="F3" t="inlineStr">
        <is>
          <t>2024 investigation catalogue</t>
        </is>
      </c>
      <c r="G3" t="inlineStr">
        <is>
          <t>https://www.defense.gouv.fr/bea-e/rapports-denquete/rapports-denquete-securite-2024-0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2" min="1" max="1"/>
    <col width="42" customWidth="1" style="22" min="2" max="2"/>
    <col width="24" customWidth="1" style="22" min="3" max="3"/>
    <col width="12" customWidth="1" style="22" min="4" max="4"/>
    <col width="14" customWidth="1" style="22" min="5" max="5"/>
    <col width="28" customWidth="1" style="22" min="6" max="6"/>
    <col width="55" customWidth="1" style="22" min="7" max="7"/>
    <col width="52" customWidth="1" style="22" min="8" max="8"/>
    <col width="48" customWidth="1" style="22" min="9" max="9"/>
    <col width="48" customWidth="1" style="22" min="10" max="10"/>
    <col width="52" customWidth="1" style="22" min="11" max="11"/>
    <col width="58" customWidth="1" style="22" min="12" max="12"/>
    <col width="34" customWidth="1" style="22" min="13" max="13"/>
  </cols>
  <sheetData>
    <row r="1">
      <c r="A1" s="63" t="inlineStr">
        <is>
          <t>Date</t>
        </is>
      </c>
      <c r="B1" s="63" t="inlineStr">
        <is>
          <t>UK 2026 observation</t>
        </is>
      </c>
      <c r="C1" s="63" t="inlineStr">
        <is>
          <t>Domain</t>
        </is>
      </c>
      <c r="D1" s="63" t="inlineStr">
        <is>
          <t>Fatalities</t>
        </is>
      </c>
      <c r="E1" s="63" t="inlineStr">
        <is>
          <t>Aircraft lost</t>
        </is>
      </c>
      <c r="F1" s="63" t="inlineStr">
        <is>
          <t>Current cause code</t>
        </is>
      </c>
      <c r="G1" s="63" t="inlineStr">
        <is>
          <t>Current public cause/status</t>
        </is>
      </c>
      <c r="H1" s="63" t="inlineStr">
        <is>
          <t>Digital/nav evidence</t>
        </is>
      </c>
      <c r="I1" s="63" t="inlineStr">
        <is>
          <t>EW/hostile evidence</t>
        </is>
      </c>
      <c r="J1" s="63" t="inlineStr">
        <is>
          <t>Closest historical comparator(s)</t>
        </is>
      </c>
      <c r="K1" s="63" t="inlineStr">
        <is>
          <t>Comparator relationship</t>
        </is>
      </c>
      <c r="L1" s="63" t="inlineStr">
        <is>
          <t>What is actually unusual?</t>
        </is>
      </c>
      <c r="M1" s="63" t="inlineStr">
        <is>
          <t>Interpretive status</t>
        </is>
      </c>
    </row>
    <row r="2">
      <c r="A2" s="59" t="inlineStr">
        <is>
          <t>2026-06-03</t>
        </is>
      </c>
      <c r="B2" s="59" t="inlineStr">
        <is>
          <t>Royal Navy Merlin Mk4 crash, Devon</t>
        </is>
      </c>
      <c r="C2" s="59" t="inlineStr">
        <is>
          <t>military aircraft</t>
        </is>
      </c>
      <c r="D2" s="59" t="n">
        <v>3</v>
      </c>
      <c r="E2" s="59" t="n">
        <v>1</v>
      </c>
      <c r="F2" s="59" t="inlineStr">
        <is>
          <t>unknown_investigation</t>
        </is>
      </c>
      <c r="G2" s="59" t="inlineStr">
        <is>
          <t>Cause not publicly established in the research set; investigation ongoing; fleet returned to flying 10 Jun.</t>
        </is>
      </c>
      <c r="H2" s="59" t="inlineStr">
        <is>
          <t>No public evidence identified tying the accident to GNSS/navigation/data-system failure.</t>
        </is>
      </c>
      <c r="I2" s="59" t="inlineStr">
        <is>
          <t>No public evidence identified tying the accident to hostile action or EW.</t>
        </is>
      </c>
      <c r="J2" s="59" t="inlineStr">
        <is>
          <t>UK 2018 Hawk XX204; France 2024 Rafale collision; US fatal training accidents</t>
        </is>
      </c>
      <c r="K2" s="59" t="inlineStr">
        <is>
          <t>Fatal non-hostile training losses exist historically; the relevant comparison is cause-resolution maturity, not mere existence of a fatal crash.</t>
        </is>
      </c>
      <c r="L2" s="59" t="inlineStr">
        <is>
          <t>Three fatalities and unresolved public cause make it high-consequence, but neither feature by itself is historically unique.</t>
        </is>
      </c>
      <c r="M2" s="59" t="inlineStr">
        <is>
          <t>UNRESOLVED — do not infer digital/EW</t>
        </is>
      </c>
    </row>
    <row r="3">
      <c r="A3" s="59" t="inlineStr">
        <is>
          <t>2026-09-23</t>
        </is>
      </c>
      <c r="B3" s="59" t="inlineStr">
        <is>
          <t>RAF Hawk T2 crash, RAF Valley/Anglesey</t>
        </is>
      </c>
      <c r="C3" s="59" t="inlineStr">
        <is>
          <t>military aircraft</t>
        </is>
      </c>
      <c r="D3" s="59" t="n">
        <v>0</v>
      </c>
      <c r="E3" s="59" t="n">
        <v>1</v>
      </c>
      <c r="F3" s="59" t="inlineStr">
        <is>
          <t>unknown_investigation</t>
        </is>
      </c>
      <c r="G3" s="59" t="inlineStr">
        <is>
          <t>Both pilots ejected; minor injuries; investigation beginning.</t>
        </is>
      </c>
      <c r="H3" s="59" t="inlineStr">
        <is>
          <t>No public digital/navigation anomaly identified in the research set.</t>
        </is>
      </c>
      <c r="I3" s="59" t="inlineStr">
        <is>
          <t>No public hostile/EW connection identified.</t>
        </is>
      </c>
      <c r="J3" s="59" t="inlineStr">
        <is>
          <t>US 2016 F-16 collision; US 2022 F-16; Finland 2025 F/A-18</t>
        </is>
      </c>
      <c r="K3" s="59" t="inlineStr">
        <is>
          <t>Training aircraft losses with successful ejection are common enough in the historical comparator set.</t>
        </is>
      </c>
      <c r="L3" s="59" t="inlineStr">
        <is>
          <t>Very recent event; low investigation maturity is expected and should not be treated as anomalous.</t>
        </is>
      </c>
      <c r="M3" s="59" t="inlineStr">
        <is>
          <t>TOO EARLY FOR CAUSAL COMPARISON</t>
        </is>
      </c>
    </row>
    <row r="4">
      <c r="A4" s="59" t="inlineStr">
        <is>
          <t>2026-09-08</t>
        </is>
      </c>
      <c r="B4" s="59" t="inlineStr">
        <is>
          <t>NATS major flight-processing failure</t>
        </is>
      </c>
      <c r="C4" s="59" t="inlineStr">
        <is>
          <t>civil ATM/digital</t>
        </is>
      </c>
      <c r="D4" s="59" t="n">
        <v>0</v>
      </c>
      <c r="E4" s="59" t="n">
        <v>0</v>
      </c>
      <c r="F4" s="59" t="inlineStr">
        <is>
          <t>software_failure</t>
        </is>
      </c>
      <c r="G4" s="59" t="inlineStr">
        <is>
          <t>NATS attributed incident to a software defect/timing condition producing corrupted output; military intervention/cyberattack not supported.</t>
        </is>
      </c>
      <c r="H4" s="59" t="inlineStr">
        <is>
          <t>Confirmed digital/system failure.</t>
        </is>
      </c>
      <c r="I4" s="59" t="inlineStr">
        <is>
          <t>Malicious/military interference explicitly not supported in the established account.</t>
        </is>
      </c>
      <c r="J4" s="59" t="inlineStr">
        <is>
          <t>London ACC computer-system failure 2023; Barcelona FDPS 2023; Milan FDPS 2024; Karlsruhe FDPS instability 2024</t>
        </is>
      </c>
      <c r="K4" s="59" t="inlineStr">
        <is>
          <t>Very strong historical mechanism match: flight-data/computer processing failures caused major ATFM disruption before 2026.</t>
        </is>
      </c>
      <c r="L4" s="59" t="inlineStr">
        <is>
          <t>Scale was severe, but mechanism is not novel in the baseline.</t>
        </is>
      </c>
      <c r="M4" s="59" t="inlineStr">
        <is>
          <t>GOOD HISTORICAL MATCH</t>
        </is>
      </c>
    </row>
    <row r="5">
      <c r="A5" s="59" t="inlineStr">
        <is>
          <t>2026-09-21</t>
        </is>
      </c>
      <c r="B5" s="59" t="inlineStr">
        <is>
          <t>NATS Prestwick connectivity/equipment failure</t>
        </is>
      </c>
      <c r="C5" s="59" t="inlineStr">
        <is>
          <t>civil ATM/digital</t>
        </is>
      </c>
      <c r="D5" s="59" t="n">
        <v>0</v>
      </c>
      <c r="E5" s="59" t="n">
        <v>0</v>
      </c>
      <c r="F5" s="59" t="inlineStr">
        <is>
          <t>network_connectivity</t>
        </is>
      </c>
      <c r="G5" s="59" t="inlineStr">
        <is>
          <t>Separate connectivity/equipment failure; 227 cancellations in the established research set.</t>
        </is>
      </c>
      <c r="H5" s="59" t="inlineStr">
        <is>
          <t>Confirmed information-system relevance.</t>
        </is>
      </c>
      <c r="I5" s="59" t="inlineStr">
        <is>
          <t>No demonstrated war/EW connection in current evidence.</t>
        </is>
      </c>
      <c r="J5" s="59" t="inlineStr">
        <is>
          <t>Reims IT-services failure 2023; Zagreb/Marseille comms failures 2024; German multi-centre technical issue 2024</t>
        </is>
      </c>
      <c r="K5" s="59" t="inlineStr">
        <is>
          <t>Strong family-level match for network/comms/control-centre technical failures.</t>
        </is>
      </c>
      <c r="L5" s="59" t="inlineStr">
        <is>
          <t>Temporal proximity to 8 Sep is worth retaining, but two failures do not establish common cause.</t>
        </is>
      </c>
      <c r="M5" s="59" t="inlineStr">
        <is>
          <t>GOOD FAMILY-LEVEL MATCH</t>
        </is>
      </c>
    </row>
    <row r="6">
      <c r="A6" s="59" t="inlineStr">
        <is>
          <t>2026-08-12</t>
        </is>
      </c>
      <c r="B6" s="59" t="inlineStr">
        <is>
          <t>Barcelona-El Prat tower electrical failure</t>
        </is>
      </c>
      <c r="C6" s="59" t="inlineStr">
        <is>
          <t>civil ATM/infrastructure</t>
        </is>
      </c>
      <c r="D6" s="59" t="n">
        <v>0</v>
      </c>
      <c r="E6" s="59" t="n">
        <v>0</v>
      </c>
      <c r="F6" s="59" t="inlineStr">
        <is>
          <t>power_failure</t>
        </is>
      </c>
      <c r="G6" s="59" t="inlineStr">
        <is>
          <t>Primary and backup power reportedly failed; cancellations/diversions followed.</t>
        </is>
      </c>
      <c r="H6" s="59" t="inlineStr">
        <is>
          <t>Digital systems affected through loss of power, but proximate cause is electrical/resilience.</t>
        </is>
      </c>
      <c r="I6" s="59" t="inlineStr">
        <is>
          <t>No demonstrated hostile/EW connection.</t>
        </is>
      </c>
      <c r="J6" s="59" t="inlineStr">
        <is>
          <t>Bodø power failure 2024</t>
        </is>
      </c>
      <c r="K6" s="59" t="inlineStr">
        <is>
          <t>Direct power-failure comparator exists; Barcelona's backup failure is the more interesting resilience feature.</t>
        </is>
      </c>
      <c r="L6" s="59" t="inlineStr">
        <is>
          <t>Failure of redundancy is more analytically notable than the existence of a power outage.</t>
        </is>
      </c>
      <c r="M6" s="59" t="inlineStr">
        <is>
          <t>GOOD MATCH; RESILIENCE DETAIL MATTERS</t>
        </is>
      </c>
    </row>
    <row r="7">
      <c r="A7" s="59" t="inlineStr">
        <is>
          <t>2026-07-27</t>
        </is>
      </c>
      <c r="B7" s="59" t="inlineStr">
        <is>
          <t>Brest ACC CPDLC/datalink outage</t>
        </is>
      </c>
      <c r="C7" s="59" t="inlineStr">
        <is>
          <t>civil ATM/digital</t>
        </is>
      </c>
      <c r="D7" s="59" t="n">
        <v>0</v>
      </c>
      <c r="E7" s="59" t="n">
        <v>0</v>
      </c>
      <c r="F7" s="59" t="inlineStr">
        <is>
          <t>datalink_cpdlc</t>
        </is>
      </c>
      <c r="G7" s="59" t="inlineStr">
        <is>
          <t>CPDLC/datalink outage; 3,419 ATFM delay minutes in established research set.</t>
        </is>
      </c>
      <c r="H7" s="59" t="inlineStr">
        <is>
          <t>Confirmed datalink failure.</t>
        </is>
      </c>
      <c r="I7" s="59" t="inlineStr">
        <is>
          <t>No demonstrated hostile/EW connection.</t>
        </is>
      </c>
      <c r="J7" s="59" t="inlineStr">
        <is>
          <t>Reims/Bordeaux/Maastricht/Vienna CPDLC 2024; Reims datalink 2024; European CPDLC 2025</t>
        </is>
      </c>
      <c r="K7" s="59" t="inlineStr">
        <is>
          <t>Excellent mechanism match with multiple pre-2026 European datalink events.</t>
        </is>
      </c>
      <c r="L7" s="59" t="inlineStr">
        <is>
          <t>Not anomalous by mechanism; compare magnitude/exposure.</t>
        </is>
      </c>
      <c r="M7" s="59" t="inlineStr">
        <is>
          <t>VERY GOOD HISTORICAL MATCH</t>
        </is>
      </c>
    </row>
    <row r="8">
      <c r="A8" s="59" t="inlineStr">
        <is>
          <t>2026-08-31</t>
        </is>
      </c>
      <c r="B8" s="59" t="inlineStr">
        <is>
          <t>Multi-centre CPDLC outage: France/UK/Germany/Switzerland</t>
        </is>
      </c>
      <c r="C8" s="59" t="inlineStr">
        <is>
          <t>civil ATM/digital</t>
        </is>
      </c>
      <c r="D8" s="59" t="n">
        <v>0</v>
      </c>
      <c r="E8" s="59" t="n">
        <v>0</v>
      </c>
      <c r="F8" s="59" t="inlineStr">
        <is>
          <t>datalink_cpdlc</t>
        </is>
      </c>
      <c r="G8" s="59" t="inlineStr">
        <is>
          <t>Multi-centre CPDLC outage; 5,168 delay minutes in established research set.</t>
        </is>
      </c>
      <c r="H8" s="59" t="inlineStr">
        <is>
          <t>Confirmed datalink failure.</t>
        </is>
      </c>
      <c r="I8" s="59" t="inlineStr">
        <is>
          <t>No demonstrated hostile/EW connection.</t>
        </is>
      </c>
      <c r="J8" s="59" t="inlineStr">
        <is>
          <t>Multi-ACC CPDLC issue 10 Aug 2024</t>
        </is>
      </c>
      <c r="K8" s="59" t="inlineStr">
        <is>
          <t>Near-direct historical match: 2024 also produced simultaneous CPDLC capacity effects across several European ACCs.</t>
        </is>
      </c>
      <c r="L8" s="59" t="inlineStr">
        <is>
          <t>Cross-border scope is conspicuous but not unprecedented in the assembled baseline.</t>
        </is>
      </c>
      <c r="M8" s="59" t="inlineStr">
        <is>
          <t>NEAR-DIRECT HISTORICAL MATCH</t>
        </is>
      </c>
    </row>
    <row r="9">
      <c r="A9" s="59" t="inlineStr">
        <is>
          <t>2026-03-25 onward</t>
        </is>
      </c>
      <c r="B9" s="59" t="inlineStr">
        <is>
          <t>Documented European GNSS jamming/spoofing environment</t>
        </is>
      </c>
      <c r="C9" s="59" t="inlineStr">
        <is>
          <t>GNSS/EW environment</t>
        </is>
      </c>
      <c r="D9" s="59" t="n">
        <v>0</v>
      </c>
      <c r="E9" s="59" t="n">
        <v>0</v>
      </c>
      <c r="F9" s="59" t="inlineStr">
        <is>
          <t>gnss_jamming / gnss_spoofing</t>
        </is>
      </c>
      <c r="G9" s="59" t="inlineStr">
        <is>
          <t>EASA/EUROCONTROL publicly treated GNSS interference as a growing aviation safety/resilience threat.</t>
        </is>
      </c>
      <c r="H9" s="59" t="inlineStr">
        <is>
          <t>Confirmed environmental information degradation.</t>
        </is>
      </c>
      <c r="I9" s="59" t="inlineStr">
        <is>
          <t>Intentional interference is documented at environment level; attribution varies and this row is not an accident.</t>
        </is>
      </c>
      <c r="J9" s="59" t="inlineStr">
        <is>
          <t>US 2020 F-16 degraded GPS contribution; US 2017 RQ-4 navigation-data issue</t>
        </is>
      </c>
      <c r="K9" s="59" t="inlineStr">
        <is>
          <t>Historical military cases establish that degraded navigation information can matter operationally, but they do not establish hostile EW as the cause.</t>
        </is>
      </c>
      <c r="L9" s="59" t="inlineStr">
        <is>
          <t>The unusual feature is coexistence of an acknowledged interference environment with other failures, not a demonstrated causal bridge to them.</t>
        </is>
      </c>
      <c r="M9" s="59" t="inlineStr">
        <is>
          <t>CONTEXTUALLY IMPORTANT; CAUSAL BRIDGE UNPROVEN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style="22" min="1" max="1"/>
    <col width="12" customWidth="1" style="22" min="2" max="2"/>
    <col width="40" customWidth="1" style="22" min="3" max="3"/>
    <col width="14" customWidth="1" style="22" min="4" max="4"/>
    <col width="18" customWidth="1" style="22" min="5" max="5"/>
    <col width="28" customWidth="1" style="22" min="6" max="6"/>
    <col width="58" customWidth="1" style="22" min="7" max="7"/>
    <col width="58" customWidth="1" style="22" min="8" max="8"/>
    <col width="24" customWidth="1" style="22" min="9" max="9"/>
  </cols>
  <sheetData>
    <row r="1">
      <c r="A1" s="63" t="inlineStr">
        <is>
          <t>UK/2026 target</t>
        </is>
      </c>
      <c r="B1" s="63" t="inlineStr">
        <is>
          <t>Match rank</t>
        </is>
      </c>
      <c r="C1" s="63" t="inlineStr">
        <is>
          <t>Historical event</t>
        </is>
      </c>
      <c r="D1" s="63" t="inlineStr">
        <is>
          <t>Date</t>
        </is>
      </c>
      <c r="E1" s="63" t="inlineStr">
        <is>
          <t>Country</t>
        </is>
      </c>
      <c r="F1" s="63" t="inlineStr">
        <is>
          <t>Cause family</t>
        </is>
      </c>
      <c r="G1" s="63" t="inlineStr">
        <is>
          <t>Why it matches</t>
        </is>
      </c>
      <c r="H1" s="63" t="inlineStr">
        <is>
          <t>Important mismatch / limit</t>
        </is>
      </c>
      <c r="I1" s="63" t="inlineStr">
        <is>
          <t>Match quality</t>
        </is>
      </c>
    </row>
    <row r="2">
      <c r="A2" s="59" t="inlineStr">
        <is>
          <t>NATS 8 Sep software/flight-processing failure</t>
        </is>
      </c>
      <c r="B2" s="59" t="n">
        <v>1</v>
      </c>
      <c r="C2" s="59" t="inlineStr">
        <is>
          <t>London ACC computer system failure</t>
        </is>
      </c>
      <c r="D2" s="59" t="inlineStr">
        <is>
          <t>2023-06-14</t>
        </is>
      </c>
      <c r="E2" s="59" t="inlineStr">
        <is>
          <t>UK</t>
        </is>
      </c>
      <c r="F2" s="59" t="inlineStr">
        <is>
          <t>hardware/computer system</t>
        </is>
      </c>
      <c r="G2" s="59" t="inlineStr">
        <is>
          <t>Same national ATM environment; computer-system failure produced 12,450 ATFM delay minutes.</t>
        </is>
      </c>
      <c r="H2" s="59" t="inlineStr">
        <is>
          <t>Historical report's root component not yet resolved to same software mechanism.</t>
        </is>
      </c>
      <c r="I2" s="59" t="inlineStr">
        <is>
          <t>strong</t>
        </is>
      </c>
    </row>
    <row r="3">
      <c r="A3" s="59" t="inlineStr">
        <is>
          <t>NATS 8 Sep software/flight-processing failure</t>
        </is>
      </c>
      <c r="B3" s="59" t="n">
        <v>2</v>
      </c>
      <c r="C3" s="59" t="inlineStr">
        <is>
          <t>Barcelona ACC FDPS failure</t>
        </is>
      </c>
      <c r="D3" s="59" t="inlineStr">
        <is>
          <t>2023-06-30</t>
        </is>
      </c>
      <c r="E3" s="59" t="inlineStr">
        <is>
          <t>Spain</t>
        </is>
      </c>
      <c r="F3" s="59" t="inlineStr">
        <is>
          <t>flight_data_processing</t>
        </is>
      </c>
      <c r="G3" s="59" t="inlineStr">
        <is>
          <t>Explicit pre-2026 flight-data-processing failure.</t>
        </is>
      </c>
      <c r="H3" s="59" t="inlineStr">
        <is>
          <t>Different ANSP/system and smaller recorded delay burden.</t>
        </is>
      </c>
      <c r="I3" s="59" t="inlineStr">
        <is>
          <t>strong</t>
        </is>
      </c>
    </row>
    <row r="4">
      <c r="A4" s="59" t="inlineStr">
        <is>
          <t>NATS 8 Sep software/flight-processing failure</t>
        </is>
      </c>
      <c r="B4" s="59" t="n">
        <v>3</v>
      </c>
      <c r="C4" s="59" t="inlineStr">
        <is>
          <t>Milano FDPS failure</t>
        </is>
      </c>
      <c r="D4" s="59" t="inlineStr">
        <is>
          <t>2024-10-20</t>
        </is>
      </c>
      <c r="E4" s="59" t="inlineStr">
        <is>
          <t>Italy</t>
        </is>
      </c>
      <c r="F4" s="59" t="inlineStr">
        <is>
          <t>flight_data_processing</t>
        </is>
      </c>
      <c r="G4" s="59" t="inlineStr">
        <is>
          <t>Explicit FDPS failure with 9,772 ATFM delay minutes.</t>
        </is>
      </c>
      <c r="H4" s="59" t="inlineStr">
        <is>
          <t>Different implementation/system.</t>
        </is>
      </c>
      <c r="I4" s="59" t="inlineStr">
        <is>
          <t>strong</t>
        </is>
      </c>
    </row>
    <row r="5">
      <c r="A5" s="59" t="inlineStr">
        <is>
          <t>Prestwick 21 Sep connectivity/equipment failure</t>
        </is>
      </c>
      <c r="B5" s="59" t="n">
        <v>1</v>
      </c>
      <c r="C5" s="59" t="inlineStr">
        <is>
          <t>Reims ACC IT services failure</t>
        </is>
      </c>
      <c r="D5" s="59" t="inlineStr">
        <is>
          <t>2023-06-24</t>
        </is>
      </c>
      <c r="E5" s="59" t="inlineStr">
        <is>
          <t>France</t>
        </is>
      </c>
      <c r="F5" s="59" t="inlineStr">
        <is>
          <t>network_connectivity</t>
        </is>
      </c>
      <c r="G5" s="59" t="inlineStr">
        <is>
          <t>Explicit IT-services failure in an ACC.</t>
        </is>
      </c>
      <c r="H5" s="59" t="inlineStr">
        <is>
          <t>Different technical stack; mechanism only family-level.</t>
        </is>
      </c>
      <c r="I5" s="59" t="inlineStr">
        <is>
          <t>moderate-strong</t>
        </is>
      </c>
    </row>
    <row r="6">
      <c r="A6" s="59" t="inlineStr">
        <is>
          <t>Prestwick 21 Sep connectivity/equipment failure</t>
        </is>
      </c>
      <c r="B6" s="59" t="n">
        <v>2</v>
      </c>
      <c r="C6" s="59" t="inlineStr">
        <is>
          <t>Marseille communication system failure</t>
        </is>
      </c>
      <c r="D6" s="59" t="inlineStr">
        <is>
          <t>2024-09-24</t>
        </is>
      </c>
      <c r="E6" s="59" t="inlineStr">
        <is>
          <t>France</t>
        </is>
      </c>
      <c r="F6" s="59" t="inlineStr">
        <is>
          <t>comms_failure</t>
        </is>
      </c>
      <c r="G6" s="59" t="inlineStr">
        <is>
          <t>Control-centre communications failure with knock-on effects in neighbouring ACCs.</t>
        </is>
      </c>
      <c r="H6" s="59" t="inlineStr">
        <is>
          <t>Comms is not necessarily the same as internal connectivity.</t>
        </is>
      </c>
      <c r="I6" s="59" t="inlineStr">
        <is>
          <t>moderate</t>
        </is>
      </c>
    </row>
    <row r="7">
      <c r="A7" s="59" t="inlineStr">
        <is>
          <t>Barcelona 12 Aug power + backup failure</t>
        </is>
      </c>
      <c r="B7" s="59" t="n">
        <v>1</v>
      </c>
      <c r="C7" s="59" t="inlineStr">
        <is>
          <t>Bodø power failure</t>
        </is>
      </c>
      <c r="D7" s="59" t="inlineStr">
        <is>
          <t>2024-08-16</t>
        </is>
      </c>
      <c r="E7" s="59" t="inlineStr">
        <is>
          <t>Norway</t>
        </is>
      </c>
      <c r="F7" s="59" t="inlineStr">
        <is>
          <t>power_failure</t>
        </is>
      </c>
      <c r="G7" s="59" t="inlineStr">
        <is>
          <t>Direct pre-2026 ATC power-failure comparator; 6,097 ATFM delay minutes.</t>
        </is>
      </c>
      <c r="H7" s="59" t="inlineStr">
        <is>
          <t>Current Barcelona case includes reported backup failure, which is an additional resilience dimension.</t>
        </is>
      </c>
      <c r="I7" s="59" t="inlineStr">
        <is>
          <t>strong</t>
        </is>
      </c>
    </row>
    <row r="8">
      <c r="A8" s="59" t="inlineStr">
        <is>
          <t>Brest 27 Jul CPDLC outage</t>
        </is>
      </c>
      <c r="B8" s="59" t="n">
        <v>1</v>
      </c>
      <c r="C8" s="59" t="inlineStr">
        <is>
          <t>Reims data link issue</t>
        </is>
      </c>
      <c r="D8" s="59" t="inlineStr">
        <is>
          <t>2024-09-01</t>
        </is>
      </c>
      <c r="E8" s="59" t="inlineStr">
        <is>
          <t>France</t>
        </is>
      </c>
      <c r="F8" s="59" t="inlineStr">
        <is>
          <t>datalink_cpdlc</t>
        </is>
      </c>
      <c r="G8" s="59" t="inlineStr">
        <is>
          <t>Same broad French datalink/CPDLC failure family.</t>
        </is>
      </c>
      <c r="H8" s="59" t="inlineStr">
        <is>
          <t>Different centre/date; underlying component may differ.</t>
        </is>
      </c>
      <c r="I8" s="59" t="inlineStr">
        <is>
          <t>strong</t>
        </is>
      </c>
    </row>
    <row r="9">
      <c r="A9" s="59" t="inlineStr">
        <is>
          <t>Multi-centre CPDLC 31 Aug</t>
        </is>
      </c>
      <c r="B9" s="59" t="n">
        <v>1</v>
      </c>
      <c r="C9" s="59" t="inlineStr">
        <is>
          <t>Reims/Bordeaux/Maastricht/Vienna CPDLC issue</t>
        </is>
      </c>
      <c r="D9" s="59" t="inlineStr">
        <is>
          <t>2024-08-10</t>
        </is>
      </c>
      <c r="E9" s="59" t="inlineStr">
        <is>
          <t>Europe</t>
        </is>
      </c>
      <c r="F9" s="59" t="inlineStr">
        <is>
          <t>datalink_cpdlc</t>
        </is>
      </c>
      <c r="G9" s="59" t="inlineStr">
        <is>
          <t>Pre-2026 multi-country, multi-ACC CPDLC capacity disruption.</t>
        </is>
      </c>
      <c r="H9" s="59" t="inlineStr">
        <is>
          <t>Need component-level reports before calling mechanisms identical.</t>
        </is>
      </c>
      <c r="I9" s="59" t="inlineStr">
        <is>
          <t>very strong</t>
        </is>
      </c>
    </row>
    <row r="10">
      <c r="A10" s="59" t="inlineStr">
        <is>
          <t>2026 GNSS/EW environment</t>
        </is>
      </c>
      <c r="B10" s="59" t="n">
        <v>1</v>
      </c>
      <c r="C10" s="59" t="inlineStr">
        <is>
          <t>USAF F-16 degraded GPS contribution</t>
        </is>
      </c>
      <c r="D10" s="59" t="inlineStr">
        <is>
          <t>2020-12-08</t>
        </is>
      </c>
      <c r="E10" s="59" t="inlineStr">
        <is>
          <t>US</t>
        </is>
      </c>
      <c r="F10" s="59" t="inlineStr">
        <is>
          <t>navigation information degradation</t>
        </is>
      </c>
      <c r="G10" s="59" t="inlineStr">
        <is>
          <t>Official military investigation found degraded GPS tracking substantially contributed to fatal accident.</t>
        </is>
      </c>
      <c r="H10" s="59" t="inlineStr">
        <is>
          <t>No evidence degradation was hostile jamming/spoofing; primary cause was spatial disorientation.</t>
        </is>
      </c>
      <c r="I10" s="59" t="inlineStr">
        <is>
          <t>conceptually strong / causally different</t>
        </is>
      </c>
    </row>
    <row r="11">
      <c r="A11" s="59" t="inlineStr">
        <is>
          <t>2026 GNSS/EW environment</t>
        </is>
      </c>
      <c r="B11" s="59" t="n">
        <v>2</v>
      </c>
      <c r="C11" s="59" t="inlineStr">
        <is>
          <t>USAF RQ-4 navigation-data issue</t>
        </is>
      </c>
      <c r="D11" s="59" t="inlineStr">
        <is>
          <t>2017-06-21</t>
        </is>
      </c>
      <c r="E11" s="59" t="inlineStr">
        <is>
          <t>US</t>
        </is>
      </c>
      <c r="F11" s="59" t="inlineStr">
        <is>
          <t>aircraft_avionics/navigation</t>
        </is>
      </c>
      <c r="G11" s="59" t="inlineStr">
        <is>
          <t>Official baseline case where navigation-data-device issue was causal to aircraft loss.</t>
        </is>
      </c>
      <c r="H11" s="59" t="inlineStr">
        <is>
          <t>Uncrewed platform; no evidence of external interference.</t>
        </is>
      </c>
      <c r="I11" s="59" t="inlineStr">
        <is>
          <t>conceptual</t>
        </is>
      </c>
    </row>
    <row r="12">
      <c r="A12" s="59" t="inlineStr">
        <is>
          <t>Merlin Mk4 3 Jun unresolved fatal crash</t>
        </is>
      </c>
      <c r="B12" s="59" t="n">
        <v>1</v>
      </c>
      <c r="C12" s="59" t="inlineStr">
        <is>
          <t>RAF Hawk XX204 fatal crash</t>
        </is>
      </c>
      <c r="D12" s="59" t="inlineStr">
        <is>
          <t>2018-03-20</t>
        </is>
      </c>
      <c r="E12" s="59" t="inlineStr">
        <is>
          <t>UK</t>
        </is>
      </c>
      <c r="F12" s="59" t="inlineStr">
        <is>
          <t>historically unresolved-at-early-stage</t>
        </is>
      </c>
      <c r="G12" s="59" t="inlineStr">
        <is>
          <t>UK military fatal aviation accident with formal Service Inquiry process.</t>
        </is>
      </c>
      <c r="H12" s="59" t="inlineStr">
        <is>
          <t>Need equivalent-time investigation status from 2018 to compare resolution speed properly.</t>
        </is>
      </c>
      <c r="I12" s="59" t="inlineStr">
        <is>
          <t>contextual</t>
        </is>
      </c>
    </row>
    <row r="13">
      <c r="A13" s="59" t="inlineStr">
        <is>
          <t>Hawk T2 23 Sep very recent crash</t>
        </is>
      </c>
      <c r="B13" s="59" t="n">
        <v>1</v>
      </c>
      <c r="C13" s="59" t="inlineStr">
        <is>
          <t>Finland F/A-18 display-practice crash</t>
        </is>
      </c>
      <c r="D13" s="59" t="inlineStr">
        <is>
          <t>2025-05-07</t>
        </is>
      </c>
      <c r="E13" s="59" t="inlineStr">
        <is>
          <t>Finland</t>
        </is>
      </c>
      <c r="F13" s="59" t="inlineStr">
        <is>
          <t>unknown_investigation</t>
        </is>
      </c>
      <c r="G13" s="59" t="inlineStr">
        <is>
          <t>Recent NATO training/display crash initially without public cause; pilot ejected.</t>
        </is>
      </c>
      <c r="H13" s="59" t="inlineStr">
        <is>
          <t>Different aircraft/service and event profile.</t>
        </is>
      </c>
      <c r="I13" s="59" t="inlineStr">
        <is>
          <t>contextual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style="22" min="1" max="1"/>
    <col width="100" customWidth="1" style="22" min="2" max="2"/>
  </cols>
  <sheetData>
    <row r="1">
      <c r="A1" s="64" t="inlineStr">
        <is>
          <t>USEFUL VLOOKUP — FIRST COMPARISON</t>
        </is>
      </c>
      <c r="B1" s="1" t="n"/>
    </row>
    <row r="2">
      <c r="A2" s="58" t="inlineStr">
        <is>
          <t>Question</t>
        </is>
      </c>
      <c r="B2" s="59" t="inlineStr">
        <is>
          <t>Does the assembled 2026 UK/civil cluster already look qualitatively unlike the historical controls?</t>
        </is>
      </c>
    </row>
    <row r="3">
      <c r="A3" s="58" t="inlineStr">
        <is>
          <t>Answer supported by current workbook</t>
        </is>
      </c>
      <c r="B3" s="59" t="inlineStr">
        <is>
          <t>For civil ATM/digital failures: mostly no. We have strong pre-2026 matches for FDPS/computer, CPDLC/datalink, communications/connectivity and power failures.</t>
        </is>
      </c>
    </row>
    <row r="4">
      <c r="A4" s="58" t="inlineStr">
        <is>
          <t>Where 2026 differs most</t>
        </is>
      </c>
      <c r="B4" s="59" t="inlineStr">
        <is>
          <t>Context: these events occur during an independently documented GNSS-jamming/spoofing environment and alongside several military accidents. The workbook does not establish a causal connection between those streams.</t>
        </is>
      </c>
    </row>
    <row r="5">
      <c r="A5" s="58" t="inlineStr">
        <is>
          <t>Military result</t>
        </is>
      </c>
      <c r="B5" s="59" t="inlineStr">
        <is>
          <t>The current 2026 UK military cases are not mechanism-comparable yet because their causes are unresolved. Historical military losses include mundane mechanical/human/collision causes AND genuine navigation/information-system contributions.</t>
        </is>
      </c>
    </row>
    <row r="6">
      <c r="A6" s="58" t="inlineStr">
        <is>
          <t>Most useful historical warning</t>
        </is>
      </c>
      <c r="B6" s="59" t="inlineStr">
        <is>
          <t>The 2020 USAF F-16 case proves degraded GPS can contribute to a fatal military accident without establishing hostile jamming/spoofing. 'Digital/nav relevant' and 'hostile EW' must remain separate variables.</t>
        </is>
      </c>
    </row>
    <row r="7">
      <c r="A7" s="58" t="inlineStr">
        <is>
          <t>What does NOT currently look novel</t>
        </is>
      </c>
      <c r="B7" s="59" t="inlineStr">
        <is>
          <t>FDPS failures, CPDLC outages, communications failures, power failures, non-hostile training crashes, or temporarily unresolved investigations considered individually.</t>
        </is>
      </c>
    </row>
    <row r="8">
      <c r="A8" s="58" t="inlineStr">
        <is>
          <t>What remains worth testing</t>
        </is>
      </c>
      <c r="B8" s="59" t="inlineStr">
        <is>
          <t>Whether 2026 has an unusual RATE or temporal concentration after exposure adjustment; whether unresolved military cases later acquire common navigation/EW/system signatures; whether redundancy failures cluster unusually.</t>
        </is>
      </c>
    </row>
    <row r="9">
      <c r="A9" s="58" t="inlineStr">
        <is>
          <t>Current verdict field</t>
        </is>
      </c>
      <c r="B9" s="59" t="inlineStr">
        <is>
          <t>NO OVERALL VERDICT: qualitative matching is possible; NATO-wide rate inference still requires fuller denominators/coverage.</t>
        </is>
      </c>
    </row>
    <row r="10">
      <c r="A10" s="59" t="n"/>
      <c r="B10" s="59" t="n"/>
    </row>
    <row r="11">
      <c r="A11" s="59" t="inlineStr">
        <is>
          <t>Descriptive comparison count</t>
        </is>
      </c>
      <c r="B11" s="59" t="inlineStr">
        <is>
          <t>Count</t>
        </is>
      </c>
    </row>
    <row r="12">
      <c r="A12" s="59" t="inlineStr">
        <is>
          <t>2026 rows assessed</t>
        </is>
      </c>
      <c r="B12" s="59" t="n">
        <v>8</v>
      </c>
    </row>
    <row r="13">
      <c r="A13" s="59" t="inlineStr">
        <is>
          <t>Rows with good/very good/near-direct civil historical match</t>
        </is>
      </c>
      <c r="B13" s="59" t="n">
        <v>5</v>
      </c>
    </row>
    <row r="14">
      <c r="A14" s="59" t="inlineStr">
        <is>
          <t>GNSS/EW row with historical navigation relevance but no hostile-EW causal match</t>
        </is>
      </c>
      <c r="B14" s="59" t="n">
        <v>1</v>
      </c>
    </row>
    <row r="15">
      <c r="A15" s="59" t="inlineStr">
        <is>
          <t>Military rows too unresolved/recent for mechanism match</t>
        </is>
      </c>
      <c r="B15" s="59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2026-09-23T18:59:39Z</dcterms:created>
  <dcterms:modified xmlns:dcterms="http://purl.org/dc/terms/" xmlns:xsi="http://www.w3.org/2001/XMLSchema-instance" xsi:type="dcterms:W3CDTF">2026-09-23T18:59:39Z</dcterms:modified>
</cp:coreProperties>
</file>