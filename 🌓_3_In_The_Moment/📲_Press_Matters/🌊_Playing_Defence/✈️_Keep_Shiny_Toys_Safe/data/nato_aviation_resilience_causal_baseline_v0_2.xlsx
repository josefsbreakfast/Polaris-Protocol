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431ae3352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58447337e234f76"/>
    <x:sheet xmlns:r="http://schemas.openxmlformats.org/officeDocument/2006/relationships" name="Civil_Annual_Baseline" sheetId="2" r:id="R05afb119535a4369"/>
    <x:sheet xmlns:r="http://schemas.openxmlformats.org/officeDocument/2006/relationships" name="Official_Disruption_Examples" sheetId="3" r:id="R283025d44a1547b9"/>
    <x:sheet xmlns:r="http://schemas.openxmlformats.org/officeDocument/2006/relationships" name="2026_Comparison_Framework" sheetId="4" r:id="R874615bc5ae045b7"/>
    <x:sheet xmlns:r="http://schemas.openxmlformats.org/officeDocument/2006/relationships" name="Source_Register" sheetId="5" r:id="R2e89c99492424101"/>
    <x:sheet xmlns:r="http://schemas.openxmlformats.org/officeDocument/2006/relationships" name="Backfill_Queue" sheetId="6" r:id="Rce7cdca51efe4813"/>
    <x:sheet xmlns:r="http://schemas.openxmlformats.org/officeDocument/2006/relationships" name="Causal_Taxonomy" sheetId="7" r:id="Rba879276bdc54dc5"/>
    <x:sheet xmlns:r="http://schemas.openxmlformats.org/officeDocument/2006/relationships" name="Causal_Event_Ledger" sheetId="8" r:id="Rcb447d2f197246bf"/>
    <x:sheet xmlns:r="http://schemas.openxmlformats.org/officeDocument/2006/relationships" name="Causal_Summary" sheetId="9" r:id="R1b0ff07b0099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b5f1195644bc0" /><Relationship Type="http://schemas.openxmlformats.org/officeDocument/2006/relationships/theme" Target="/xl/theme/theme1.xml" Id="Rbed5498b341a411b" /><Relationship Type="http://schemas.openxmlformats.org/officeDocument/2006/relationships/sharedStrings" Target="/xl/sharedStrings.xml" Id="Re4416348888d440e" /><Relationship Type="http://schemas.openxmlformats.org/officeDocument/2006/relationships/worksheet" Target="/xl/worksheets/sheet1.xml" Id="Rb58447337e234f76" /><Relationship Type="http://schemas.openxmlformats.org/officeDocument/2006/relationships/worksheet" Target="/xl/worksheets/sheet2.xml" Id="R05afb119535a4369" /><Relationship Type="http://schemas.openxmlformats.org/officeDocument/2006/relationships/worksheet" Target="/xl/worksheets/sheet3.xml" Id="R283025d44a1547b9" /><Relationship Type="http://schemas.openxmlformats.org/officeDocument/2006/relationships/worksheet" Target="/xl/worksheets/sheet4.xml" Id="R874615bc5ae045b7" /><Relationship Type="http://schemas.openxmlformats.org/officeDocument/2006/relationships/worksheet" Target="/xl/worksheets/sheet5.xml" Id="R2e89c99492424101" /><Relationship Type="http://schemas.openxmlformats.org/officeDocument/2006/relationships/worksheet" Target="/xl/worksheets/sheet6.xml" Id="Rce7cdca51efe4813" /><Relationship Type="http://schemas.openxmlformats.org/officeDocument/2006/relationships/worksheet" Target="/xl/worksheets/sheet7.xml" Id="Rba879276bdc54dc5" /><Relationship Type="http://schemas.openxmlformats.org/officeDocument/2006/relationships/worksheet" Target="/xl/worksheets/sheet8.xml" Id="Rcb447d2f197246bf" /><Relationship Type="http://schemas.openxmlformats.org/officeDocument/2006/relationships/worksheet" Target="/xl/worksheets/sheet9.xml" Id="R1b0ff07b009946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8e3f44034f47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Regime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Flights_millions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8e3f44034f47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vilAnnualBaseline" displayName="CivilAnnualBaseline" ref="A1:I11" headerRowCount="1" totalsRowCount="0" totalsRowShown="0">
  <x:tableColumns count="9">
    <x:tableColumn id="1" name="Year"/>
    <x:tableColumn id="2" name="Regime"/>
    <x:tableColumn id="3" name="Flights_millions"/>
    <x:tableColumn id="4" name="Traffic_value_status"/>
    <x:tableColumn id="5" name="Enroute_ATFM_min_per_flight"/>
    <x:tableColumn id="6" name="Airport_ATFM_min_per_flight"/>
    <x:tableColumn id="7" name="Total_ATFM_min_per_flight"/>
    <x:tableColumn id="8" name="Context / caveat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DisruptionExamples" displayName="OfficialDisruptionExamples" ref="A1:H7" headerRowCount="1" totalsRowCount="0" totalsRowShown="0">
  <x:tableColumns count="8">
    <x:tableColumn id="1" name="Date"/>
    <x:tableColumn id="2" name="Year"/>
    <x:tableColumn id="3" name="Location"/>
    <x:tableColumn id="4" name="System/event"/>
    <x:tableColumn id="5" name="Official impact"/>
    <x:tableColumn id="6" name="Classification"/>
    <x:tableColumn id="7" name="Why retained"/>
    <x:tableColumn id="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cafc4c4780444d7" /><Relationship Type="http://schemas.openxmlformats.org/officeDocument/2006/relationships/table" Target="/xl/tables/table1.xml" Id="R33e419d3434b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69b52329d249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NATO-area aviation resilience baseline</x:v>
      </x:c>
      <x:c r="B1" s="11" t="str"/>
    </x:row>
    <x:row r="2">
      <x:c r="A2" s="12" t="str">
        <x:v>Version</x:v>
      </x:c>
      <x:c r="B2" s="11" t="str">
        <x:v>Working baseline v0.1 — 23 September 2026</x:v>
      </x:c>
    </x:row>
    <x:row r="3">
      <x:c r="A3" s="12" t="str">
        <x:v>Research question</x:v>
      </x:c>
      <x:c r="B3" s="11" t="str">
        <x:v>Does the rate, severity, or character of aviation information/infrastructure failures or non-hostile military aircraft losses during the Iran-war period depart from a longer historical baseline?</x:v>
      </x:c>
    </x:row>
    <x:row r="4">
      <x:c r="A4" s="12" t="str">
        <x:v>Observation window</x:v>
      </x:c>
      <x:c r="B4" s="11" t="str">
        <x:v>28 Feb 2026 – 23 Sep 2026</x:v>
      </x:c>
    </x:row>
    <x:row r="5">
      <x:c r="A5" s="12" t="str">
        <x:v>Control design</x:v>
      </x:c>
      <x:c r="B5" s="11" t="str">
        <x:v>2016–2019 pre-COVID; 2020–2021 COVID/low exposure; 2022–2025 post-COVID/Ukraine-war; 1 Jan–27 Feb 2026 immediate pre-war control.</x:v>
      </x:c>
    </x:row>
    <x:row r="6">
      <x:c r="A6" s="12" t="str">
        <x:v>Core rule</x:v>
      </x:c>
      <x:c r="B6" s="11" t="str">
        <x:v>Do not infer a common cause from clustering. Civil ATM/infrastructure, GNSS/EW interference, military accidents, and VIP aviation-security events remain separate streams until evidence connects them.</x:v>
      </x:c>
    </x:row>
    <x:row r="7">
      <x:c r="A7" s="12" t="str">
        <x:v>Civil scope</x:v>
      </x:c>
      <x:c r="B7" s="11" t="str">
        <x:v>EUROCONTROL Network Manager area / European ATM where official longitudinal data are available. This is not identical to NATO membership and is retained as a regional control series.</x:v>
      </x:c>
    </x:row>
    <x:row r="8">
      <x:c r="A8" s="12" t="str">
        <x:v>Military scope</x:v>
      </x:c>
      <x:c r="B8" s="11" t="str">
        <x:v>NATO-member military aircraft: non-hostile losses/serious accidents. Event-level historical backfill remains a separate workstream because no single NATO-wide public series has yet been identified.</x:v>
      </x:c>
    </x:row>
    <x:row r="9">
      <x:c r="A9" s="12" t="str">
        <x:v>Cause coding</x:v>
      </x:c>
      <x:c r="B9" s="11" t="str">
        <x:v>confirmed digital/IT; confirmed electrical; GNSS/EW; mechanical/physical; collision; hostile fire; friendly fire; unresolved; no evidence of digital involvement.</x:v>
      </x:c>
    </x:row>
    <x:row r="10">
      <x:c r="A10" s="12" t="str">
        <x:v>Interpretation warning</x:v>
      </x:c>
      <x:c r="B10" s="11" t="str">
        <x:v>Raw annual counts are not comparable without exposure. COVID years are flagged and flight-normalised metrics should be preferred where available.</x:v>
      </x:c>
    </x:row>
    <x:row r="12">
      <x:c r="A12" s="30" t="str">
        <x:v>New causal layer</x:v>
      </x:c>
      <x:c r="B12" s="11" t="str">
        <x:v>Causal_Taxonomy defines exactly what 'why' means; Causal_Event_Ledger records proximate cause, resilience failure, confidence, digital relevance, war/EW relevance, and explanation status.</x:v>
      </x:c>
    </x:row>
    <x:row r="13">
      <x:c r="A13" s="30" t="str">
        <x:v>Critical distinction</x:v>
      </x:c>
      <x:c r="B13" s="11" t="str">
        <x:v>'No public evidence of digital involvement' is NOT the same as 'digital involvement ruled out'.</x:v>
      </x:c>
    </x:row>
    <x:row r="14">
      <x:c r="A14" s="30" t="str">
        <x:v>Interpretation</x:v>
      </x:c>
      <x:c r="B14" s="11" t="str">
        <x:v>The ledger must be backfilled under identical inclusion rules before annual proportions are treated as comparative statistics.</x:v>
      </x:c>
    </x:row>
    <x:row r="15">
      <x:c r="A15" s="30" t="str">
        <x:v>Next P0</x:v>
      </x:c>
      <x:c r="B15" s="11" t="str">
        <x:v>Populate significant civil technical events across 2016–2025 and the NATO military accident series, then calculate cause composition by year and exposure.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20" hidden="0" customWidth="1"/>
    <x:col min="7" max="7" width="18" hidden="0" customWidth="1"/>
    <x:col min="8" max="8" width="55" hidden="0" customWidth="1"/>
    <x:col min="9" max="9" width="48" hidden="0" customWidth="1"/>
  </x:cols>
  <x:sheetData>
    <x:row r="1">
      <x:c r="A1" s="18" t="str">
        <x:v>Year</x:v>
      </x:c>
      <x:c r="B1" s="18" t="str">
        <x:v>Regime</x:v>
      </x:c>
      <x:c r="C1" s="18" t="str">
        <x:v>Flights_millions</x:v>
      </x:c>
      <x:c r="D1" s="18" t="str">
        <x:v>Traffic_value_status</x:v>
      </x:c>
      <x:c r="E1" s="18" t="str">
        <x:v>Enroute_ATFM_min_per_flight</x:v>
      </x:c>
      <x:c r="F1" s="18" t="str">
        <x:v>Airport_ATFM_min_per_flight</x:v>
      </x:c>
      <x:c r="G1" s="18" t="str">
        <x:v>Total_ATFM_min_per_flight</x:v>
      </x:c>
      <x:c r="H1" s="18" t="str">
        <x:v>Context / caveat</x:v>
      </x:c>
      <x:c r="I1" s="18" t="str">
        <x:v>Primary source URL</x:v>
      </x:c>
    </x:row>
    <x:row r="2">
      <x:c r="A2" s="11" t="n">
        <x:v>2016</x:v>
      </x:c>
      <x:c r="B2" s="11" t="str">
        <x:v>Pre-COVID</x:v>
      </x:c>
      <x:c r="C2" s="20" t="n">
        <x:v>10.163</x:v>
      </x:c>
      <x:c r="D2" s="20" t="str">
        <x:v>approx from official avg daily traffic</x:v>
      </x:c>
      <x:c r="E2" s="20" t="n">
        <x:v>0.86</x:v>
      </x:c>
      <x:c r="F2" s="20" t="n">
        <x:v>0.67</x:v>
      </x:c>
      <x:c r="G2" s="20" t="n">
        <x:v>1.53</x:v>
      </x:c>
      <x:c r="H2" s="11" t="str">
        <x:v>High-traffic pre-COVID control. Official report records multiple radar, frequency, VOR, ILS and radio-navigation disruptions.</x:v>
      </x:c>
      <x:c r="I2" s="11" t="str">
        <x:v>https://www.eurocontrol.int/sites/default/files/publication/files/nm-annual-network-operations-report-2016-main-report.pdf</x:v>
      </x:c>
    </x:row>
    <x:row r="3">
      <x:c r="A3" s="11" t="n">
        <x:v>2017</x:v>
      </x:c>
      <x:c r="B3" s="11" t="str">
        <x:v>Pre-COVID</x:v>
      </x:c>
      <x:c r="C3" s="20" t="n">
        <x:v>10.606</x:v>
      </x:c>
      <x:c r="D3" s="20" t="str">
        <x:v>approx from official avg daily traffic</x:v>
      </x:c>
      <x:c r="E3" s="20" t="n">
        <x:v>0.88</x:v>
      </x:c>
      <x:c r="F3" s="20" t="n">
        <x:v>0.62</x:v>
      </x:c>
      <x:c r="G3" s="20" t="n">
        <x:v>1.5</x:v>
      </x:c>
      <x:c r="H3" s="11" t="str">
        <x:v>High-traffic pre-COVID control.</x:v>
      </x:c>
      <x:c r="I3" s="11" t="str">
        <x:v>https://www.eurocontrol.int/publication/annual-network-operations-report-2017</x:v>
      </x:c>
    </x:row>
    <x:row r="4">
      <x:c r="A4" s="11" t="n">
        <x:v>2018</x:v>
      </x:c>
      <x:c r="B4" s="11" t="str">
        <x:v>Pre-COVID</x:v>
      </x:c>
      <x:c r="C4" s="20" t="n">
        <x:v>11.011</x:v>
      </x:c>
      <x:c r="D4" s="20" t="str">
        <x:v>approx from official avg daily traffic</x:v>
      </x:c>
      <x:c r="E4" s="20" t="n">
        <x:v>1.73</x:v>
      </x:c>
      <x:c r="F4" s="20" t="n">
        <x:v>0.6</x:v>
      </x:c>
      <x:c r="G4" s="20" t="n">
        <x:v>2.33</x:v>
      </x:c>
      <x:c r="H4" s="11" t="str">
        <x:v>Severe network-delay year; useful noisy-year control. Included major Network Manager technical outage.</x:v>
      </x:c>
      <x:c r="I4" s="11" t="str">
        <x:v>https://www.eurocontrol.int/publication/annual-network-operations-report-2018</x:v>
      </x:c>
    </x:row>
    <x:row r="5">
      <x:c r="A5" s="11" t="n">
        <x:v>2019</x:v>
      </x:c>
      <x:c r="B5" s="11" t="str">
        <x:v>Pre-COVID</x:v>
      </x:c>
      <x:c r="C5" s="20" t="n">
        <x:v>11.106</x:v>
      </x:c>
      <x:c r="D5" s="20" t="str">
        <x:v>approx from official avg daily traffic</x:v>
      </x:c>
      <x:c r="E5" s="20" t="n">
        <x:v>1.57</x:v>
      </x:c>
      <x:c r="F5" s="20" t="n">
        <x:v>0.6</x:v>
      </x:c>
      <x:c r="G5" s="20" t="n">
        <x:v>2.17</x:v>
      </x:c>
      <x:c r="H5" s="11" t="str">
        <x:v>Pre-pandemic traffic peak; EUROCONTROL described 2019 delay as third-worst of prior decade despite improvement vs 2018.</x:v>
      </x:c>
      <x:c r="I5" s="11" t="str">
        <x:v>https://www.eurocontrol.int/publication/annual-network-operations-report-2019</x:v>
      </x:c>
    </x:row>
    <x:row r="6">
      <x:c r="A6" s="11" t="n">
        <x:v>2020</x:v>
      </x:c>
      <x:c r="B6" s="11" t="str">
        <x:v>COVID</x:v>
      </x:c>
      <x:c r="C6" s="20" t="n">
        <x:v>4.971</x:v>
      </x:c>
      <x:c r="D6" s="20" t="str">
        <x:v>approx from official avg daily traffic</x:v>
      </x:c>
      <x:c r="E6" s="20" t="n">
        <x:v>0.33</x:v>
      </x:c>
      <x:c r="F6" s="20" t="n">
        <x:v>0.2</x:v>
      </x:c>
      <x:c r="G6" s="20" t="n">
        <x:v>0.53</x:v>
      </x:c>
      <x:c r="H6" s="11" t="str">
        <x:v>COVID exposure collapse. EUROCONTROL cautions against in-depth comparison with previous years.</x:v>
      </x:c>
      <x:c r="I6" s="11" t="str">
        <x:v>https://www.eurocontrol.int/publication/annual-network-operations-report-2020</x:v>
      </x:c>
    </x:row>
    <x:row r="7">
      <x:c r="A7" s="11" t="n">
        <x:v>2021</x:v>
      </x:c>
      <x:c r="B7" s="11" t="str">
        <x:v>COVID</x:v>
      </x:c>
      <x:c r="C7" s="20" t="n">
        <x:v>6.2</x:v>
      </x:c>
      <x:c r="D7" s="20" t="str">
        <x:v>official annual figure</x:v>
      </x:c>
      <x:c r="E7" s="20" t="n">
        <x:v>0.29</x:v>
      </x:c>
      <x:c r="F7" s="20" t="n">
        <x:v>0.18</x:v>
      </x:c>
      <x:c r="G7" s="20" t="n">
        <x:v>0.47</x:v>
      </x:c>
      <x:c r="H7" s="11" t="str">
        <x:v>56% of 2019 traffic; recovery year.</x:v>
      </x:c>
      <x:c r="I7" s="11" t="str">
        <x:v>https://www.eurocontrol.int/publication/annual-network-operations-report-2021</x:v>
      </x:c>
    </x:row>
    <x:row r="8">
      <x:c r="A8" s="11" t="n">
        <x:v>2022</x:v>
      </x:c>
      <x:c r="B8" s="11" t="str">
        <x:v>Post-COVID / Ukraine war</x:v>
      </x:c>
      <x:c r="C8" s="20" t="n">
        <x:v>9.3</x:v>
      </x:c>
      <x:c r="D8" s="20" t="str">
        <x:v>official annual figure</x:v>
      </x:c>
      <x:c r="E8" s="20" t="n">
        <x:v>1.8</x:v>
      </x:c>
      <x:c r="F8" s="20" t="n">
        <x:v>0.4</x:v>
      </x:c>
      <x:c r="G8" s="20" t="n">
        <x:v>2.2</x:v>
      </x:c>
      <x:c r="H8" s="11" t="str">
        <x:v>Ukraine airspace closure and increased military operations explicitly identified as network challenges.</x:v>
      </x:c>
      <x:c r="I8" s="11" t="str">
        <x:v>https://www.eurocontrol.int/publication/annual-network-operations-report-2022</x:v>
      </x:c>
    </x:row>
    <x:row r="9">
      <x:c r="A9" s="11" t="n">
        <x:v>2023</x:v>
      </x:c>
      <x:c r="B9" s="11" t="str">
        <x:v>Post-COVID / Ukraine war</x:v>
      </x:c>
      <x:c r="C9" s="20" t="n">
        <x:v>10.2</x:v>
      </x:c>
      <x:c r="D9" s="20" t="str">
        <x:v>official annual figure</x:v>
      </x:c>
      <x:c r="E9" s="20" t="n">
        <x:v>1.8</x:v>
      </x:c>
      <x:c r="F9" s="20"/>
      <x:c r="G9" s="20"/>
      <x:c r="H9" s="11" t="str">
        <x:v>Ukraine closure, increased military operations, weather and Middle East instability affected network.</x:v>
      </x:c>
      <x:c r="I9" s="11" t="str">
        <x:v>https://www.eurocontrol.int/publication/annual-network-operations-report-2023</x:v>
      </x:c>
    </x:row>
    <x:row r="10">
      <x:c r="A10" s="11" t="n">
        <x:v>2024</x:v>
      </x:c>
      <x:c r="B10" s="11" t="str">
        <x:v>Post-COVID / Ukraine war</x:v>
      </x:c>
      <x:c r="C10" s="20" t="n">
        <x:v>10.66</x:v>
      </x:c>
      <x:c r="D10" s="20" t="str">
        <x:v>derived from 2025 11.1m being +4.1% YoY</x:v>
      </x:c>
      <x:c r="E10" s="20" t="n">
        <x:v>2.13</x:v>
      </x:c>
      <x:c r="F10" s="20"/>
      <x:c r="G10" s="20"/>
      <x:c r="H10" s="11" t="str">
        <x:v>En-route ATFM delay reached worst level since 2001; increased military training/exercise requirements also noted.</x:v>
      </x:c>
      <x:c r="I10" s="11" t="str">
        <x:v>https://www.eurocontrol.int/publication/annual-network-operations-report-2024</x:v>
      </x:c>
    </x:row>
    <x:row r="11">
      <x:c r="A11" s="11" t="n">
        <x:v>2025</x:v>
      </x:c>
      <x:c r="B11" s="11" t="str">
        <x:v>Post-COVID / Ukraine war</x:v>
      </x:c>
      <x:c r="C11" s="20" t="n">
        <x:v>11.1</x:v>
      </x:c>
      <x:c r="D11" s="20" t="str">
        <x:v>official annual figure</x:v>
      </x:c>
      <x:c r="E11" s="20" t="n">
        <x:v>1.66</x:v>
      </x:c>
      <x:c r="F11" s="20"/>
      <x:c r="G11" s="20"/>
      <x:c r="H11" s="11" t="str">
        <x:v>Performance improved vs 2024/2023 despite traffic growth; Middle East instability and increased military airspace requirements noted.</x:v>
      </x:c>
      <x:c r="I11" s="11" t="str">
        <x:v>https://www.eurocontrol.int/publication/annual-network-operations-report-2025</x:v>
      </x:c>
    </x:row>
  </x:sheetData>
  <x:pageMargins left="0.7" right="0.7" top="0.75" bottom="0.75" header="0.3" footer="0.3"/>
  <x:drawing xmlns:r="http://schemas.openxmlformats.org/officeDocument/2006/relationships" r:id="Rccafc4c4780444d7"/>
  <x:tableParts count="1">
    <x:tablePart xmlns:r="http://schemas.openxmlformats.org/officeDocument/2006/relationships" r:id="R33e419d3434b48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34" hidden="0" customWidth="1"/>
    <x:col min="5" max="5" width="36" hidden="0" customWidth="1"/>
    <x:col min="6" max="6" width="24" hidden="0" customWidth="1"/>
    <x:col min="7" max="7" width="42" hidden="0" customWidth="1"/>
    <x:col min="8" max="8" width="50" hidden="0" customWidth="1"/>
  </x:cols>
  <x:sheetData>
    <x:row r="1">
      <x:c r="A1" s="18" t="str">
        <x:v>Date</x:v>
      </x:c>
      <x:c r="B1" s="18" t="str">
        <x:v>Year</x:v>
      </x:c>
      <x:c r="C1" s="18" t="str">
        <x:v>Location</x:v>
      </x:c>
      <x:c r="D1" s="18" t="str">
        <x:v>System/event</x:v>
      </x:c>
      <x:c r="E1" s="18" t="str">
        <x:v>Official impact</x:v>
      </x:c>
      <x:c r="F1" s="18" t="str">
        <x:v>Classification</x:v>
      </x:c>
      <x:c r="G1" s="18" t="str">
        <x:v>Why retained</x:v>
      </x:c>
      <x:c r="H1" s="18" t="str">
        <x:v>Source URL</x:v>
      </x:c>
    </x:row>
    <x:row r="2">
      <x:c r="A2" s="11" t="str">
        <x:v>2016-01-18</x:v>
      </x:c>
      <x:c r="B2" s="11" t="n">
        <x:v>2016</x:v>
      </x:c>
      <x:c r="C2" s="11" t="str">
        <x:v>Frankfurt/Main</x:v>
      </x:c>
      <x:c r="D2" s="11" t="str">
        <x:v>VOR unserviceability</x:v>
      </x:c>
      <x:c r="E2" s="11" t="str">
        <x:v>2,452 ATFM delay min</x:v>
      </x:c>
      <x:c r="F2" s="11" t="str">
        <x:v>radio-navigation</x:v>
      </x:c>
      <x:c r="G2" s="11" t="str">
        <x:v>Historical technical-failure comparator</x:v>
      </x:c>
      <x:c r="H2" s="11" t="str">
        <x:v>https://www.eurocontrol.int/sites/default/files/publication/files/nm-annual-network-operations-report-2016-main-report.pdf</x:v>
      </x:c>
    </x:row>
    <x:row r="3">
      <x:c r="A3" s="11" t="str">
        <x:v>2016-01-21</x:v>
      </x:c>
      <x:c r="B3" s="11" t="n">
        <x:v>2016</x:v>
      </x:c>
      <x:c r="C3" s="11" t="str">
        <x:v>Istanbul airports</x:v>
      </x:c>
      <x:c r="D3" s="11" t="str">
        <x:v>Radar and frequency problems</x:v>
      </x:c>
      <x:c r="E3" s="11" t="str">
        <x:v>12,656 ATFM delay min</x:v>
      </x:c>
      <x:c r="F3" s="11" t="str">
        <x:v>surveillance/comms</x:v>
      </x:c>
      <x:c r="G3" s="11" t="str">
        <x:v>Historical technical-failure comparator</x:v>
      </x:c>
      <x:c r="H3" s="11" t="str">
        <x:v>https://www.eurocontrol.int/sites/default/files/publication/files/nm-annual-network-operations-report-2016-main-report.pdf</x:v>
      </x:c>
    </x:row>
    <x:row r="4">
      <x:c r="A4" s="11" t="str">
        <x:v>2016-02-04</x:v>
      </x:c>
      <x:c r="B4" s="11" t="n">
        <x:v>2016</x:v>
      </x:c>
      <x:c r="C4" s="11" t="str">
        <x:v>Frankfurt/Main</x:v>
      </x:c>
      <x:c r="D4" s="11" t="str">
        <x:v>ILS unserviceability</x:v>
      </x:c>
      <x:c r="E4" s="11" t="str">
        <x:v>1,295 ATFM delay min</x:v>
      </x:c>
      <x:c r="F4" s="11" t="str">
        <x:v>navigation/landing aid</x:v>
      </x:c>
      <x:c r="G4" s="11" t="str">
        <x:v>Historical technical-failure comparator</x:v>
      </x:c>
      <x:c r="H4" s="11" t="str">
        <x:v>https://www.eurocontrol.int/sites/default/files/publication/files/nm-annual-network-operations-report-2016-main-report.pdf</x:v>
      </x:c>
    </x:row>
    <x:row r="5">
      <x:c r="A5" s="11" t="str">
        <x:v>2016-02-20</x:v>
      </x:c>
      <x:c r="B5" s="11" t="n">
        <x:v>2016</x:v>
      </x:c>
      <x:c r="C5" s="11" t="str">
        <x:v>Zurich</x:v>
      </x:c>
      <x:c r="D5" s="11" t="str">
        <x:v>Radio-navigation / direction-finder problems</x:v>
      </x:c>
      <x:c r="E5" s="11" t="str">
        <x:v>1,024 ATFM delay min</x:v>
      </x:c>
      <x:c r="F5" s="11" t="str">
        <x:v>radio-navigation</x:v>
      </x:c>
      <x:c r="G5" s="11" t="str">
        <x:v>Historical technical-failure comparator</x:v>
      </x:c>
      <x:c r="H5" s="11" t="str">
        <x:v>https://www.eurocontrol.int/sites/default/files/publication/files/nm-annual-network-operations-report-2016-main-report.pdf</x:v>
      </x:c>
    </x:row>
    <x:row r="6">
      <x:c r="A6" s="11" t="str">
        <x:v>2018-04-03</x:v>
      </x:c>
      <x:c r="B6" s="11" t="n">
        <x:v>2018</x:v>
      </x:c>
      <x:c r="C6" s="11" t="str">
        <x:v>EUROCONTROL Network Manager</x:v>
      </x:c>
      <x:c r="D6" s="11" t="str">
        <x:v>Network Manager technical-system outage</x:v>
      </x:c>
      <x:c r="E6" s="11" t="str">
        <x:v>Contingency plan; precautionary capacity/departure-rate reductions</x:v>
      </x:c>
      <x:c r="F6" s="11" t="str">
        <x:v>central ATM technical system</x:v>
      </x:c>
      <x:c r="G6" s="11" t="str">
        <x:v>Large historical system-outage comparator</x:v>
      </x:c>
      <x:c r="H6" s="11" t="str">
        <x:v>https://www.eurocontrol.int/publication/annual-network-operations-report-2018</x:v>
      </x:c>
    </x:row>
    <x:row r="7">
      <x:c r="A7" s="11" t="str">
        <x:v>2024-07</x:v>
      </x:c>
      <x:c r="B7" s="11" t="n">
        <x:v>2024</x:v>
      </x:c>
      <x:c r="C7" s="11" t="str">
        <x:v>EUROCONTROL network</x:v>
      </x:c>
      <x:c r="D7" s="11" t="str">
        <x:v>High en-route ATFM delay month</x:v>
      </x:c>
      <x:c r="E7" s="11" t="str">
        <x:v>6,940,504 ATFM delay min; 6.5 min/flight total</x:v>
      </x:c>
      <x:c r="F7" s="11" t="str">
        <x:v>network performance</x:v>
      </x:c>
      <x:c r="G7" s="11" t="str">
        <x:v>Shows severe non-2026 operational month; not itself a technical outage</x:v>
      </x:c>
      <x:c r="H7" s="11" t="str">
        <x:v>https://www.eurocontrol.int/press-release/july-2024-overview-network-performance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8369b52329d249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35" hidden="0" customWidth="1"/>
    <x:col min="6" max="6" width="34" hidden="0" customWidth="1"/>
    <x:col min="7" max="7" width="38" hidden="0" customWidth="1"/>
    <x:col min="8" max="8" width="30" hidden="0" customWidth="1"/>
    <x:col min="9" max="9" width="16" hidden="0" customWidth="1"/>
  </x:cols>
  <x:sheetData>
    <x:row r="1">
      <x:c r="A1" s="18" t="str">
        <x:v>Period</x:v>
      </x:c>
      <x:c r="B1" s="18" t="str">
        <x:v>Start</x:v>
      </x:c>
      <x:c r="C1" s="18" t="str">
        <x:v>End</x:v>
      </x:c>
      <x:c r="D1" s="18" t="str">
        <x:v>Role</x:v>
      </x:c>
      <x:c r="E1" s="18" t="str">
        <x:v>Civil ATM / infrastructure</x:v>
      </x:c>
      <x:c r="F1" s="18" t="str">
        <x:v>GNSS/EW</x:v>
      </x:c>
      <x:c r="G1" s="18" t="str">
        <x:v>Military non-hostile</x:v>
      </x:c>
      <x:c r="H1" s="18" t="str">
        <x:v>VIP aviation</x:v>
      </x:c>
      <x:c r="I1" s="18" t="str">
        <x:v>Status</x:v>
      </x:c>
    </x:row>
    <x:row r="2">
      <x:c r="A2" s="11" t="str">
        <x:v>Immediate pre-war control</x:v>
      </x:c>
      <x:c r="B2" s="11" t="str">
        <x:v>2026-01-01</x:v>
      </x:c>
      <x:c r="C2" s="11" t="str">
        <x:v>2026-02-27</x:v>
      </x:c>
      <x:c r="D2" s="11" t="str">
        <x:v>Internal control</x:v>
      </x:c>
      <x:c r="E2" s="11" t="str">
        <x:v>Backfill required</x:v>
      </x:c>
      <x:c r="F2" s="11" t="str">
        <x:v>Backfill required</x:v>
      </x:c>
      <x:c r="G2" s="11" t="str">
        <x:v>Backfill required</x:v>
      </x:c>
      <x:c r="H2" s="11" t="str">
        <x:v>Backfill required</x:v>
      </x:c>
      <x:c r="I2" s="11" t="str">
        <x:v>OPEN</x:v>
      </x:c>
    </x:row>
    <x:row r="3">
      <x:c r="A3" s="11" t="str">
        <x:v>Iran-war observation</x:v>
      </x:c>
      <x:c r="B3" s="11" t="str">
        <x:v>2026-02-28</x:v>
      </x:c>
      <x:c r="C3" s="11" t="str">
        <x:v>2026-09-23</x:v>
      </x:c>
      <x:c r="D3" s="11" t="str">
        <x:v>Observation</x:v>
      </x:c>
      <x:c r="E3" s="11" t="str">
        <x:v>Event dataset exists; official-stat backfill in progress</x:v>
      </x:c>
      <x:c r="F3" s="11" t="str">
        <x:v>Documented interference environment; quantify separately</x:v>
      </x:c>
      <x:c r="G3" s="11" t="str">
        <x:v>Event dataset exists; historical denominator/backfill required</x:v>
      </x:c>
      <x:c r="H3" s="11" t="str">
        <x:v>Event dataset exists</x:v>
      </x:c>
      <x:c r="I3" s="11" t="str">
        <x:v>IN PROGRESS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>
      <x:c r="A1" s="18" t="str">
        <x:v>Source family</x:v>
      </x:c>
      <x:c r="B1" s="18" t="str">
        <x:v>Coverage</x:v>
      </x:c>
      <x:c r="C1" s="18" t="str">
        <x:v>Use</x:v>
      </x:c>
      <x:c r="D1" s="18" t="str">
        <x:v>Official URL</x:v>
      </x:c>
    </x:row>
    <x:row r="2">
      <x:c r="A2" s="11" t="str">
        <x:v>EUROCONTROL Annual Network Operations Reports</x:v>
      </x:c>
      <x:c r="B2" s="11" t="str">
        <x:v>2016–2025</x:v>
      </x:c>
      <x:c r="C2" s="11" t="str">
        <x:v>Traffic exposure; ATFM delay; network disruptions; ACC/airport technical events</x:v>
      </x:c>
      <x:c r="D2" s="11" t="str">
        <x:v>https://www.eurocontrol.int/network-performance</x:v>
      </x:c>
    </x:row>
    <x:row r="3">
      <x:c r="A3" s="11" t="str">
        <x:v>EUROCONTROL Performance Review Reports</x:v>
      </x:c>
      <x:c r="B3" s="11" t="str">
        <x:v>Longitudinal</x:v>
      </x:c>
      <x:c r="C3" s="11" t="str">
        <x:v>En-route ATFM performance and historical comparison</x:v>
      </x:c>
      <x:c r="D3" s="11" t="str">
        <x:v>https://www.eurocontrol.int/publication/performance-review-report-prr-2025</x:v>
      </x:c>
    </x:row>
    <x:row r="4">
      <x:c r="A4" s="11" t="str">
        <x:v>EUROCONTROL CODA / All-causes delay</x:v>
      </x:c>
      <x:c r="B4" s="11" t="str">
        <x:v>Annual</x:v>
      </x:c>
      <x:c r="C4" s="11" t="str">
        <x:v>Passenger-facing delay/cancellation context</x:v>
      </x:c>
      <x:c r="D4" s="11" t="str">
        <x:v>https://www.eurocontrol.int/publication/all-causes-delays-air-transport-europe-annual-2024</x:v>
      </x:c>
    </x:row>
    <x:row r="5">
      <x:c r="A5" s="11" t="str">
        <x:v>EASA Annual Safety Review</x:v>
      </x:c>
      <x:c r="B5" s="11" t="str">
        <x:v>Annual / 10-year comparisons</x:v>
      </x:c>
      <x:c r="C5" s="11" t="str">
        <x:v>ATM/ANS safety occurrence and system-component-failure context</x:v>
      </x:c>
      <x:c r="D5" s="11" t="str">
        <x:v>https://www.easa.europa.eu/en/publication-types/annual-safety-review</x:v>
      </x:c>
    </x:row>
    <x:row r="6">
      <x:c r="A6" s="11" t="str">
        <x:v>National military safety / service inquiries</x:v>
      </x:c>
      <x:c r="B6" s="11" t="str">
        <x:v>Event-level</x:v>
      </x:c>
      <x:c r="C6" s="11" t="str">
        <x:v>Military accident cause and investigation outcome</x:v>
      </x:c>
      <x:c r="D6" s="11" t="str">
        <x:v>To be populated per NATO member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62" hidden="0" customWidth="1"/>
    <x:col min="5" max="5" width="16" hidden="0" customWidth="1"/>
  </x:cols>
  <x:sheetData>
    <x:row r="1">
      <x:c r="A1" s="18" t="str">
        <x:v>Priority</x:v>
      </x:c>
      <x:c r="B1" s="18" t="str">
        <x:v>Workstream</x:v>
      </x:c>
      <x:c r="C1" s="18" t="str">
        <x:v>Task</x:v>
      </x:c>
      <x:c r="D1" s="18" t="str">
        <x:v>Why needed</x:v>
      </x:c>
      <x:c r="E1" s="18" t="str">
        <x:v>Status</x:v>
      </x:c>
    </x:row>
    <x:row r="2">
      <x:c r="A2" s="11" t="str">
        <x:v>P0</x:v>
      </x:c>
      <x:c r="B2" s="11" t="str">
        <x:v>2026 civil</x:v>
      </x:c>
      <x:c r="C2" s="11" t="str">
        <x:v>Extract Jan–27 Feb and 28 Feb–23 Sep 2026 official EUROCONTROL monthly/weekly technical-disruption metrics</x:v>
      </x:c>
      <x:c r="D2" s="11" t="str">
        <x:v>Creates same-year before/after comparison</x:v>
      </x:c>
      <x:c r="E2" s="11" t="str">
        <x:v>OPEN</x:v>
      </x:c>
    </x:row>
    <x:row r="3">
      <x:c r="A3" s="11" t="str">
        <x:v>P0</x:v>
      </x:c>
      <x:c r="B3" s="11" t="str">
        <x:v>Military</x:v>
      </x:c>
      <x:c r="C3" s="11" t="str">
        <x:v>Build 2016–2025 NATO-member non-hostile military aircraft loss/serious-accident series from national official investigators</x:v>
      </x:c>
      <x:c r="D3" s="11" t="str">
        <x:v>Tests whether 2026 military-loss count is abnormal</x:v>
      </x:c>
      <x:c r="E3" s="11" t="str">
        <x:v>OPEN</x:v>
      </x:c>
    </x:row>
    <x:row r="4">
      <x:c r="A4" s="11" t="str">
        <x:v>P0</x:v>
      </x:c>
      <x:c r="B4" s="11" t="str">
        <x:v>Military</x:v>
      </x:c>
      <x:c r="C4" s="11" t="str">
        <x:v>Add flying-hours / sortie exposure where official national data permit</x:v>
      </x:c>
      <x:c r="D4" s="11" t="str">
        <x:v>Raw crash counts otherwise confounded by activity</x:v>
      </x:c>
      <x:c r="E4" s="11" t="str">
        <x:v>OPEN</x:v>
      </x:c>
    </x:row>
    <x:row r="5">
      <x:c r="A5" s="11" t="str">
        <x:v>P1</x:v>
      </x:c>
      <x:c r="B5" s="11" t="str">
        <x:v>Civil technical</x:v>
      </x:c>
      <x:c r="C5" s="11" t="str">
        <x:v>Extract annual event-level equipment/technical disruptions from EUROCONTROL reports 2016–2025</x:v>
      </x:c>
      <x:c r="D5" s="11" t="str">
        <x:v>Tests severity and character, not just generic delay</x:v>
      </x:c>
      <x:c r="E5" s="11" t="str">
        <x:v>IN PROGRESS</x:v>
      </x:c>
    </x:row>
    <x:row r="6">
      <x:c r="A6" s="11" t="str">
        <x:v>P1</x:v>
      </x:c>
      <x:c r="B6" s="11" t="str">
        <x:v>GNSS/EW</x:v>
      </x:c>
      <x:c r="C6" s="11" t="str">
        <x:v>Build annual interference series and geography separately</x:v>
      </x:c>
      <x:c r="D6" s="11" t="str">
        <x:v>Prevents conflating known interference environment with accident causation</x:v>
      </x:c>
      <x:c r="E6" s="11" t="str">
        <x:v>OPEN</x:v>
      </x:c>
    </x:row>
    <x:row r="7">
      <x:c r="A7" s="11" t="str">
        <x:v>P1</x:v>
      </x:c>
      <x:c r="B7" s="11" t="str">
        <x:v>EASA</x:v>
      </x:c>
      <x:c r="C7" s="11" t="str">
        <x:v>Extract ATM/ANS serious incidents and system-component-failure series consistently</x:v>
      </x:c>
      <x:c r="D7" s="11" t="str">
        <x:v>Independent safety outcome check</x:v>
      </x:c>
      <x:c r="E7" s="11" t="str">
        <x:v>OPEN</x:v>
      </x:c>
    </x:row>
    <x:row r="8">
      <x:c r="A8" s="11" t="str">
        <x:v>P2</x:v>
      </x:c>
      <x:c r="B8" s="11" t="str">
        <x:v>VIP</x:v>
      </x:c>
      <x:c r="C8" s="11" t="str">
        <x:v>Backfill significant NATO VIP aviation-safety/security events with identical threshold</x:v>
      </x:c>
      <x:c r="D8" s="11" t="str">
        <x:v>Contextual stream; likely sparse</x:v>
      </x:c>
      <x:c r="E8" s="11" t="str">
        <x:v>OPEN</x:v>
      </x:c>
    </x:row>
  </x:sheetData>
  <x:dataValidations count="1">
    <x:dataValidation type="list" sqref="E2:E8">
      <x:formula1>"OPEN,IN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55" hidden="0" customWidth="1"/>
  </x:cols>
  <x:sheetData>
    <x:row r="1">
      <x:c r="A1" s="25" t="str">
        <x:v>Causal code</x:v>
      </x:c>
      <x:c r="B1" s="25" t="str">
        <x:v>Definition</x:v>
      </x:c>
      <x:c r="C1" s="25" t="str">
        <x:v>Digital relevance default</x:v>
      </x:c>
      <x:c r="D1" s="25" t="str">
        <x:v>Use rule</x:v>
      </x:c>
    </x:row>
    <x:row r="2">
      <x:c r="A2" s="11" t="str">
        <x:v>software_failure</x:v>
      </x:c>
      <x:c r="B2" s="11" t="str">
        <x:v>Software defect, crash, timing/race condition, corrupted processing</x:v>
      </x:c>
      <x:c r="C2" s="11" t="str">
        <x:v>confirmed causal</x:v>
      </x:c>
      <x:c r="D2" s="11" t="str">
        <x:v>Only where source identifies software</x:v>
      </x:c>
    </x:row>
    <x:row r="3">
      <x:c r="A3" s="11" t="str">
        <x:v>network_connectivity</x:v>
      </x:c>
      <x:c r="B3" s="11" t="str">
        <x:v>Internal network/data connectivity failure</x:v>
      </x:c>
      <x:c r="C3" s="11" t="str">
        <x:v>confirmed causal</x:v>
      </x:c>
      <x:c r="D3" s="11" t="str">
        <x:v>Network path/connectivity explicitly identified</x:v>
      </x:c>
    </x:row>
    <x:row r="4">
      <x:c r="A4" s="11" t="str">
        <x:v>power_failure</x:v>
      </x:c>
      <x:c r="B4" s="11" t="str">
        <x:v>Primary electrical supply failure</x:v>
      </x:c>
      <x:c r="C4" s="11" t="str">
        <x:v>not inherently digital</x:v>
      </x:c>
      <x:c r="D4" s="11" t="str">
        <x:v>Keep backup behaviour separately</x:v>
      </x:c>
    </x:row>
    <x:row r="5">
      <x:c r="A5" s="11" t="str">
        <x:v>backup_failure</x:v>
      </x:c>
      <x:c r="B5" s="11" t="str">
        <x:v>Redundancy/backup system failed when demanded</x:v>
      </x:c>
      <x:c r="C5" s="11" t="str">
        <x:v>resilience failure</x:v>
      </x:c>
      <x:c r="D5" s="11" t="str">
        <x:v>Secondary cause / resilience field</x:v>
      </x:c>
    </x:row>
    <x:row r="6">
      <x:c r="A6" s="11" t="str">
        <x:v>hardware_failure</x:v>
      </x:c>
      <x:c r="B6" s="11" t="str">
        <x:v>Identified physical computing/ATM equipment failure</x:v>
      </x:c>
      <x:c r="C6" s="11" t="str">
        <x:v>possible/confirmed</x:v>
      </x:c>
      <x:c r="D6" s="11" t="str">
        <x:v>Do not collapse into software</x:v>
      </x:c>
    </x:row>
    <x:row r="7">
      <x:c r="A7" s="11" t="str">
        <x:v>comms_failure</x:v>
      </x:c>
      <x:c r="B7" s="11" t="str">
        <x:v>Voice/radio/data communications failure</x:v>
      </x:c>
      <x:c r="C7" s="11" t="str">
        <x:v>information-system relevant</x:v>
      </x:c>
      <x:c r="D7" s="11" t="str">
        <x:v>Specify voice/radio/datalink where known</x:v>
      </x:c>
    </x:row>
    <x:row r="8">
      <x:c r="A8" s="11" t="str">
        <x:v>surveillance_failure</x:v>
      </x:c>
      <x:c r="B8" s="11" t="str">
        <x:v>Radar/ADS-B/surveillance degradation</x:v>
      </x:c>
      <x:c r="C8" s="11" t="str">
        <x:v>information-system relevant</x:v>
      </x:c>
      <x:c r="D8" s="11" t="str">
        <x:v>Specify sensor/system where known</x:v>
      </x:c>
    </x:row>
    <x:row r="9">
      <x:c r="A9" s="11" t="str">
        <x:v>flight_data_processing</x:v>
      </x:c>
      <x:c r="B9" s="11" t="str">
        <x:v>Flight-plan/trajectory processing failure</x:v>
      </x:c>
      <x:c r="C9" s="11" t="str">
        <x:v>confirmed causal</x:v>
      </x:c>
      <x:c r="D9" s="11" t="str">
        <x:v>ATM processing layer</x:v>
      </x:c>
    </x:row>
    <x:row r="10">
      <x:c r="A10" s="11" t="str">
        <x:v>datalink_cpdlc</x:v>
      </x:c>
      <x:c r="B10" s="11" t="str">
        <x:v>Controller–pilot datalink failure</x:v>
      </x:c>
      <x:c r="C10" s="11" t="str">
        <x:v>confirmed causal</x:v>
      </x:c>
      <x:c r="D10" s="11" t="str">
        <x:v>CPDLC/datalink only</x:v>
      </x:c>
    </x:row>
    <x:row r="11">
      <x:c r="A11" s="11" t="str">
        <x:v>gnss_jamming</x:v>
      </x:c>
      <x:c r="B11" s="11" t="str">
        <x:v>Intentional denial/degradation of GNSS</x:v>
      </x:c>
      <x:c r="C11" s="11" t="str">
        <x:v>confirmed EW if established</x:v>
      </x:c>
      <x:c r="D11" s="11" t="str">
        <x:v>Do not infer from navigation anomaly alone</x:v>
      </x:c>
    </x:row>
    <x:row r="12">
      <x:c r="A12" s="11" t="str">
        <x:v>gnss_spoofing</x:v>
      </x:c>
      <x:c r="B12" s="11" t="str">
        <x:v>Counterfeit GNSS signals causing false PNT</x:v>
      </x:c>
      <x:c r="C12" s="11" t="str">
        <x:v>confirmed EW if established</x:v>
      </x:c>
      <x:c r="D12" s="11" t="str">
        <x:v>Do not infer from navigation anomaly alone</x:v>
      </x:c>
    </x:row>
    <x:row r="13">
      <x:c r="A13" s="11" t="str">
        <x:v>other_emi_ew</x:v>
      </x:c>
      <x:c r="B13" s="11" t="str">
        <x:v>Other electromagnetic interference/electronic warfare</x:v>
      </x:c>
      <x:c r="C13" s="11" t="str">
        <x:v>confirmed/suspected</x:v>
      </x:c>
      <x:c r="D13" s="11" t="str">
        <x:v>Requires evidence</x:v>
      </x:c>
    </x:row>
    <x:row r="14">
      <x:c r="A14" s="11" t="str">
        <x:v>aircraft_avionics</x:v>
      </x:c>
      <x:c r="B14" s="11" t="str">
        <x:v>Onboard avionics/electronic-system failure</x:v>
      </x:c>
      <x:c r="C14" s="11" t="str">
        <x:v>digital/electronic causal</x:v>
      </x:c>
      <x:c r="D14" s="11" t="str">
        <x:v>Aircraft rather than ATM</x:v>
      </x:c>
    </x:row>
    <x:row r="15">
      <x:c r="A15" s="11" t="str">
        <x:v>flight_controls</x:v>
      </x:c>
      <x:c r="B15" s="11" t="str">
        <x:v>Flight-control-system fault</x:v>
      </x:c>
      <x:c r="C15" s="11" t="str">
        <x:v>possible digital/mechanical</x:v>
      </x:c>
      <x:c r="D15" s="11" t="str">
        <x:v>Preserve specific mechanism</x:v>
      </x:c>
    </x:row>
    <x:row r="16">
      <x:c r="A16" s="11" t="str">
        <x:v>engine_propulsion</x:v>
      </x:c>
      <x:c r="B16" s="11" t="str">
        <x:v>Engine/propulsion failure</x:v>
      </x:c>
      <x:c r="C16" s="11" t="str">
        <x:v>normally non-digital</x:v>
      </x:c>
      <x:c r="D16" s="11" t="str">
        <x:v>Unless source says control/electronic component</x:v>
      </x:c>
    </x:row>
    <x:row r="17">
      <x:c r="A17" s="11" t="str">
        <x:v>structural_mechanical</x:v>
      </x:c>
      <x:c r="B17" s="11" t="str">
        <x:v>Other physical aircraft failure</x:v>
      </x:c>
      <x:c r="C17" s="11" t="str">
        <x:v>normally non-digital</x:v>
      </x:c>
      <x:c r="D17" s="11" t="str">
        <x:v>Mechanical/structural</x:v>
      </x:c>
    </x:row>
    <x:row r="18">
      <x:c r="A18" s="11" t="str">
        <x:v>bird_wildlife</x:v>
      </x:c>
      <x:c r="B18" s="11" t="str">
        <x:v>Bird/wildlife strike</x:v>
      </x:c>
      <x:c r="C18" s="11" t="str">
        <x:v>non-digital</x:v>
      </x:c>
      <x:c r="D18" s="11" t="str">
        <x:v>Physical external cause</x:v>
      </x:c>
    </x:row>
    <x:row r="19">
      <x:c r="A19" s="11" t="str">
        <x:v>weather</x:v>
      </x:c>
      <x:c r="B19" s="11" t="str">
        <x:v>Weather causal/contributory</x:v>
      </x:c>
      <x:c r="C19" s="11" t="str">
        <x:v>non-digital</x:v>
      </x:c>
      <x:c r="D19" s="11" t="str">
        <x:v>Only when source establishes contribution</x:v>
      </x:c>
    </x:row>
    <x:row r="20">
      <x:c r="A20" s="11" t="str">
        <x:v>human_factors</x:v>
      </x:c>
      <x:c r="B20" s="11" t="str">
        <x:v>Crew/controller/human-performance contribution</x:v>
      </x:c>
      <x:c r="C20" s="11" t="str">
        <x:v>non-digital</x:v>
      </x:c>
      <x:c r="D20" s="11" t="str">
        <x:v>Only when established; no speculation</x:v>
      </x:c>
    </x:row>
    <x:row r="21">
      <x:c r="A21" s="11" t="str">
        <x:v>collision</x:v>
      </x:c>
      <x:c r="B21" s="11" t="str">
        <x:v>Aircraft-aircraft/object collision</x:v>
      </x:c>
      <x:c r="C21" s="11" t="str">
        <x:v>non-digital mechanism</x:v>
      </x:c>
      <x:c r="D21" s="11" t="str">
        <x:v>Underlying cause may remain unresolved</x:v>
      </x:c>
    </x:row>
    <x:row r="22">
      <x:c r="A22" s="11" t="str">
        <x:v>friendly_fire</x:v>
      </x:c>
      <x:c r="B22" s="11" t="str">
        <x:v>Friendly kinetic action</x:v>
      </x:c>
      <x:c r="C22" s="11" t="str">
        <x:v>direct military</x:v>
      </x:c>
      <x:c r="D22" s="11" t="str">
        <x:v>Separate from non-hostile accident count</x:v>
      </x:c>
    </x:row>
    <x:row r="23">
      <x:c r="A23" s="11" t="str">
        <x:v>hostile_fire</x:v>
      </x:c>
      <x:c r="B23" s="11" t="str">
        <x:v>Enemy kinetic action</x:v>
      </x:c>
      <x:c r="C23" s="11" t="str">
        <x:v>direct military</x:v>
      </x:c>
      <x:c r="D23" s="11" t="str">
        <x:v>Separate from non-hostile accident count</x:v>
      </x:c>
    </x:row>
    <x:row r="24">
      <x:c r="A24" s="11" t="str">
        <x:v>security_threat</x:v>
      </x:c>
      <x:c r="B24" s="11" t="str">
        <x:v>Threat assessment changes aviation operation</x:v>
      </x:c>
      <x:c r="C24" s="11" t="str">
        <x:v>security environment</x:v>
      </x:c>
      <x:c r="D24" s="11" t="str">
        <x:v>VIP/protective stream</x:v>
      </x:c>
    </x:row>
    <x:row r="25">
      <x:c r="A25" s="11" t="str">
        <x:v>unknown_investigation</x:v>
      </x:c>
      <x:c r="B25" s="11" t="str">
        <x:v>Investigation ongoing/no cause yet published</x:v>
      </x:c>
      <x:c r="C25" s="11" t="str">
        <x:v>unknown</x:v>
      </x:c>
      <x:c r="D25" s="11" t="str">
        <x:v>Not evidence of digital involvement</x:v>
      </x:c>
    </x:row>
    <x:row r="26">
      <x:c r="A26" s="11" t="str">
        <x:v>unknown_no_public_explanation</x:v>
      </x:c>
      <x:c r="B26" s="11" t="str">
        <x:v>No adequate public causal account found</x:v>
      </x:c>
      <x:c r="C26" s="11" t="str">
        <x:v>unknown</x:v>
      </x:c>
      <x:c r="D26" s="11" t="str">
        <x:v>Use only after reasonable source search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27" hidden="0" customWidth="1"/>
    <x:col min="5" max="5" width="28" hidden="0" customWidth="1"/>
    <x:col min="6" max="6" width="34" hidden="0" customWidth="1"/>
    <x:col min="7" max="7" width="26" hidden="0" customWidth="1"/>
    <x:col min="8" max="8" width="28" hidden="0" customWidth="1"/>
    <x:col min="9" max="9" width="48" hidden="0" customWidth="1"/>
    <x:col min="10" max="10" width="23" hidden="0" customWidth="1"/>
    <x:col min="11" max="11" width="26" hidden="0" customWidth="1"/>
    <x:col min="12" max="12" width="28" hidden="0" customWidth="1"/>
    <x:col min="13" max="13" width="16" hidden="0" customWidth="1"/>
    <x:col min="14" max="14" width="27" hidden="0" customWidth="1"/>
    <x:col min="15" max="15" width="28" hidden="0" customWidth="1"/>
    <x:col min="16" max="16" width="48" hidden="0" customWidth="1"/>
    <x:col min="17" max="17" width="52" hidden="0" customWidth="1"/>
    <x:col min="18" max="18" width="42" hidden="0" customWidth="1"/>
  </x:cols>
  <x:sheetData>
    <x:row r="1">
      <x:c r="A1" s="25" t="str">
        <x:v>Date</x:v>
      </x:c>
      <x:c r="B1" s="25" t="str">
        <x:v>Period</x:v>
      </x:c>
      <x:c r="C1" s="25" t="str">
        <x:v>Country/region</x:v>
      </x:c>
      <x:c r="D1" s="25" t="str">
        <x:v>Stream</x:v>
      </x:c>
      <x:c r="E1" s="25" t="str">
        <x:v>Operator/system</x:v>
      </x:c>
      <x:c r="F1" s="25" t="str">
        <x:v>Event</x:v>
      </x:c>
      <x:c r="G1" s="25" t="str">
        <x:v>Proximate cause</x:v>
      </x:c>
      <x:c r="H1" s="25" t="str">
        <x:v>Secondary/resilience cause</x:v>
      </x:c>
      <x:c r="I1" s="25" t="str">
        <x:v>Mechanism/detail</x:v>
      </x:c>
      <x:c r="J1" s="25" t="str">
        <x:v>Cause confidence</x:v>
      </x:c>
      <x:c r="K1" s="25" t="str">
        <x:v>Digital relevance</x:v>
      </x:c>
      <x:c r="L1" s="25" t="str">
        <x:v>War/EW relevance</x:v>
      </x:c>
      <x:c r="M1" s="25" t="str">
        <x:v>Hostile action</x:v>
      </x:c>
      <x:c r="N1" s="25" t="str">
        <x:v>Public explanation status</x:v>
      </x:c>
      <x:c r="O1" s="25" t="str">
        <x:v>Impact/severity</x:v>
      </x:c>
      <x:c r="P1" s="25" t="str">
        <x:v>Why this row matters</x:v>
      </x:c>
      <x:c r="Q1" s="25" t="str">
        <x:v>Primary source URL</x:v>
      </x:c>
      <x:c r="R1" s="25" t="str">
        <x:v>Notes / next check</x:v>
      </x:c>
    </x:row>
    <x:row r="2">
      <x:c r="A2" s="11" t="str">
        <x:v>2016-01-18</x:v>
      </x:c>
      <x:c r="B2" s="11" t="str">
        <x:v>Pre-COVID baseline</x:v>
      </x:c>
      <x:c r="C2" s="11" t="str">
        <x:v>Germany</x:v>
      </x:c>
      <x:c r="D2" s="11" t="str">
        <x:v>civil ATM/infrastructure</x:v>
      </x:c>
      <x:c r="E2" s="11" t="str">
        <x:v>Frankfurt/Main</x:v>
      </x:c>
      <x:c r="F2" s="11" t="str">
        <x:v>VOR unserviceability</x:v>
      </x:c>
      <x:c r="G2" s="11" t="str">
        <x:v>hardware_failure</x:v>
      </x:c>
      <x:c r="H2" s="11" t="str"/>
      <x:c r="I2" s="11" t="str">
        <x:v>VOR/navigation aid unavailable</x:v>
      </x:c>
      <x:c r="J2" s="11" t="str">
        <x:v>official reported</x:v>
      </x:c>
      <x:c r="K2" s="11" t="str">
        <x:v>information-system relevant</x:v>
      </x:c>
      <x:c r="L2" s="11" t="str">
        <x:v>none demonstrated</x:v>
      </x:c>
      <x:c r="M2" s="11" t="str">
        <x:v>no</x:v>
      </x:c>
      <x:c r="N2" s="11" t="str">
        <x:v>explained at system level</x:v>
      </x:c>
      <x:c r="O2" s="11" t="str">
        <x:v>2,452 ATFM delay min</x:v>
      </x:c>
      <x:c r="P2" s="11" t="str">
        <x:v>Historical navigation-system failure comparator</x:v>
      </x:c>
      <x:c r="Q2" s="11" t="str">
        <x:v>https://www.eurocontrol.int/sites/default/files/publication/files/nm-annual-network-operations-report-2016-main-report.pdf</x:v>
      </x:c>
      <x:c r="R2" s="11" t="str">
        <x:v>Underlying component root cause not extracted yet</x:v>
      </x:c>
    </x:row>
    <x:row r="3">
      <x:c r="A3" s="11" t="str">
        <x:v>2016-01-21</x:v>
      </x:c>
      <x:c r="B3" s="11" t="str">
        <x:v>Pre-COVID baseline</x:v>
      </x:c>
      <x:c r="C3" s="11" t="str">
        <x:v>Türkiye</x:v>
      </x:c>
      <x:c r="D3" s="11" t="str">
        <x:v>civil ATM/infrastructure</x:v>
      </x:c>
      <x:c r="E3" s="11" t="str">
        <x:v>Istanbul airports</x:v>
      </x:c>
      <x:c r="F3" s="11" t="str">
        <x:v>Radar and frequency problems</x:v>
      </x:c>
      <x:c r="G3" s="11" t="str">
        <x:v>surveillance_failure</x:v>
      </x:c>
      <x:c r="H3" s="11" t="str">
        <x:v>comms_failure</x:v>
      </x:c>
      <x:c r="I3" s="11" t="str">
        <x:v>Radar plus frequency problems</x:v>
      </x:c>
      <x:c r="J3" s="11" t="str">
        <x:v>official reported</x:v>
      </x:c>
      <x:c r="K3" s="11" t="str">
        <x:v>information-system relevant</x:v>
      </x:c>
      <x:c r="L3" s="11" t="str">
        <x:v>none demonstrated</x:v>
      </x:c>
      <x:c r="M3" s="11" t="str">
        <x:v>no</x:v>
      </x:c>
      <x:c r="N3" s="11" t="str">
        <x:v>explained at system level</x:v>
      </x:c>
      <x:c r="O3" s="11" t="str">
        <x:v>12,656 ATFM delay min</x:v>
      </x:c>
      <x:c r="P3" s="11" t="str">
        <x:v>Large pre-war surveillance/comms comparator</x:v>
      </x:c>
      <x:c r="Q3" s="11" t="str">
        <x:v>https://www.eurocontrol.int/sites/default/files/publication/files/nm-annual-network-operations-report-2016-main-report.pdf</x:v>
      </x:c>
      <x:c r="R3" s="11" t="str"/>
    </x:row>
    <x:row r="4">
      <x:c r="A4" s="11" t="str">
        <x:v>2016-02-04</x:v>
      </x:c>
      <x:c r="B4" s="11" t="str">
        <x:v>Pre-COVID baseline</x:v>
      </x:c>
      <x:c r="C4" s="11" t="str">
        <x:v>Germany</x:v>
      </x:c>
      <x:c r="D4" s="11" t="str">
        <x:v>civil ATM/infrastructure</x:v>
      </x:c>
      <x:c r="E4" s="11" t="str">
        <x:v>Frankfurt/Main</x:v>
      </x:c>
      <x:c r="F4" s="11" t="str">
        <x:v>ILS unserviceability</x:v>
      </x:c>
      <x:c r="G4" s="11" t="str">
        <x:v>hardware_failure</x:v>
      </x:c>
      <x:c r="H4" s="11" t="str"/>
      <x:c r="I4" s="11" t="str">
        <x:v>Instrument landing system unavailable</x:v>
      </x:c>
      <x:c r="J4" s="11" t="str">
        <x:v>official reported</x:v>
      </x:c>
      <x:c r="K4" s="11" t="str">
        <x:v>information-system relevant</x:v>
      </x:c>
      <x:c r="L4" s="11" t="str">
        <x:v>none demonstrated</x:v>
      </x:c>
      <x:c r="M4" s="11" t="str">
        <x:v>no</x:v>
      </x:c>
      <x:c r="N4" s="11" t="str">
        <x:v>explained at system level</x:v>
      </x:c>
      <x:c r="O4" s="11" t="str">
        <x:v>1,295 ATFM delay min</x:v>
      </x:c>
      <x:c r="P4" s="11" t="str">
        <x:v>Historical landing/navigation failure comparator</x:v>
      </x:c>
      <x:c r="Q4" s="11" t="str">
        <x:v>https://www.eurocontrol.int/sites/default/files/publication/files/nm-annual-network-operations-report-2016-main-report.pdf</x:v>
      </x:c>
      <x:c r="R4" s="11" t="str"/>
    </x:row>
    <x:row r="5">
      <x:c r="A5" s="11" t="str">
        <x:v>2016-02-20</x:v>
      </x:c>
      <x:c r="B5" s="11" t="str">
        <x:v>Pre-COVID baseline</x:v>
      </x:c>
      <x:c r="C5" s="11" t="str">
        <x:v>Switzerland</x:v>
      </x:c>
      <x:c r="D5" s="11" t="str">
        <x:v>civil ATM/infrastructure</x:v>
      </x:c>
      <x:c r="E5" s="11" t="str">
        <x:v>Zurich</x:v>
      </x:c>
      <x:c r="F5" s="11" t="str">
        <x:v>Radio-navigation / direction-finder problems</x:v>
      </x:c>
      <x:c r="G5" s="11" t="str">
        <x:v>hardware_failure</x:v>
      </x:c>
      <x:c r="H5" s="11" t="str"/>
      <x:c r="I5" s="11" t="str">
        <x:v>Radio-navigation equipment problem</x:v>
      </x:c>
      <x:c r="J5" s="11" t="str">
        <x:v>official reported</x:v>
      </x:c>
      <x:c r="K5" s="11" t="str">
        <x:v>information-system relevant</x:v>
      </x:c>
      <x:c r="L5" s="11" t="str">
        <x:v>none demonstrated</x:v>
      </x:c>
      <x:c r="M5" s="11" t="str">
        <x:v>no</x:v>
      </x:c>
      <x:c r="N5" s="11" t="str">
        <x:v>explained at system level</x:v>
      </x:c>
      <x:c r="O5" s="11" t="str">
        <x:v>1,024 ATFM delay min</x:v>
      </x:c>
      <x:c r="P5" s="11" t="str">
        <x:v>Historical radio-navigation comparator</x:v>
      </x:c>
      <x:c r="Q5" s="11" t="str">
        <x:v>https://www.eurocontrol.int/sites/default/files/publication/files/nm-annual-network-operations-report-2016-main-report.pdf</x:v>
      </x:c>
      <x:c r="R5" s="11" t="str"/>
    </x:row>
    <x:row r="6">
      <x:c r="A6" s="11" t="str">
        <x:v>2018-04-03</x:v>
      </x:c>
      <x:c r="B6" s="11" t="str">
        <x:v>Pre-COVID baseline</x:v>
      </x:c>
      <x:c r="C6" s="11" t="str">
        <x:v>EUROCONTROL area</x:v>
      </x:c>
      <x:c r="D6" s="11" t="str">
        <x:v>civil ATM/infrastructure</x:v>
      </x:c>
      <x:c r="E6" s="11" t="str">
        <x:v>Network Manager</x:v>
      </x:c>
      <x:c r="F6" s="11" t="str">
        <x:v>Central technical-system outage</x:v>
      </x:c>
      <x:c r="G6" s="11" t="str">
        <x:v>hardware_failure</x:v>
      </x:c>
      <x:c r="H6" s="11" t="str"/>
      <x:c r="I6" s="11" t="str">
        <x:v>NM technical system unavailable; contingency capacity reductions</x:v>
      </x:c>
      <x:c r="J6" s="11" t="str">
        <x:v>official reported</x:v>
      </x:c>
      <x:c r="K6" s="11" t="str">
        <x:v>information-system relevant</x:v>
      </x:c>
      <x:c r="L6" s="11" t="str">
        <x:v>none demonstrated</x:v>
      </x:c>
      <x:c r="M6" s="11" t="str">
        <x:v>no</x:v>
      </x:c>
      <x:c r="N6" s="11" t="str">
        <x:v>explained at system level</x:v>
      </x:c>
      <x:c r="O6" s="11" t="str">
        <x:v>Network-wide contingency measures</x:v>
      </x:c>
      <x:c r="P6" s="11" t="str">
        <x:v>Major pre-2026 central-system outage comparator</x:v>
      </x:c>
      <x:c r="Q6" s="11" t="str">
        <x:v>https://www.eurocontrol.int/publication/annual-network-operations-report-2018</x:v>
      </x:c>
      <x:c r="R6" s="11" t="str">
        <x:v>Need deeper report extraction for exact root cause</x:v>
      </x:c>
    </x:row>
    <x:row r="7">
      <x:c r="A7" s="11" t="str">
        <x:v>2024-07-19</x:v>
      </x:c>
      <x:c r="B7" s="11" t="str">
        <x:v>Post-COVID / Ukraine-war baseline</x:v>
      </x:c>
      <x:c r="C7" s="11" t="str">
        <x:v>Europe/US</x:v>
      </x:c>
      <x:c r="D7" s="11" t="str">
        <x:v>civil airline/airport IT</x:v>
      </x:c>
      <x:c r="E7" s="11" t="str">
        <x:v>Multiple carriers/airports</x:v>
      </x:c>
      <x:c r="F7" s="11" t="str">
        <x:v>CrowdStrike/Microsoft-related disruption</x:v>
      </x:c>
      <x:c r="G7" s="11" t="str">
        <x:v>software_failure</x:v>
      </x:c>
      <x:c r="H7" s="11" t="str"/>
      <x:c r="I7" s="11" t="str">
        <x:v>Cloud-based systems used by carriers affected; passenger booking/check-in impacted</x:v>
      </x:c>
      <x:c r="J7" s="11" t="str">
        <x:v>confirmed external technical event</x:v>
      </x:c>
      <x:c r="K7" s="11" t="str">
        <x:v>confirmed causal</x:v>
      </x:c>
      <x:c r="L7" s="11" t="str">
        <x:v>none demonstrated</x:v>
      </x:c>
      <x:c r="M7" s="11" t="str">
        <x:v>no</x:v>
      </x:c>
      <x:c r="N7" s="11" t="str">
        <x:v>explained</x:v>
      </x:c>
      <x:c r="O7" s="11" t="str">
        <x:v>Widespread carrier/airport disruption</x:v>
      </x:c>
      <x:c r="P7" s="11" t="str">
        <x:v>Excellent non-war-period mass digital-failure comparator</x:v>
      </x:c>
      <x:c r="Q7" s="11" t="str">
        <x:v>https://www.eurocontrol.int/sites/default/files/2025-05/eurocontrol-annual-network-operations-report-2024.pdf</x:v>
      </x:c>
      <x:c r="R7" s="11" t="str">
        <x:v>Do not treat as ATM failure; airline/airport IT layer</x:v>
      </x:c>
    </x:row>
    <x:row r="8">
      <x:c r="A8" s="11" t="str">
        <x:v>2026-03-25</x:v>
      </x:c>
      <x:c r="B8" s="11" t="str">
        <x:v>Iran-war observation</x:v>
      </x:c>
      <x:c r="C8" s="11" t="str">
        <x:v>Europe</x:v>
      </x:c>
      <x:c r="D8" s="11" t="str">
        <x:v>GNSS/EW environment</x:v>
      </x:c>
      <x:c r="E8" s="11" t="str">
        <x:v>EASA/EUROCONTROL</x:v>
      </x:c>
      <x:c r="F8" s="11" t="str">
        <x:v>Joint GNSS interference action plan</x:v>
      </x:c>
      <x:c r="G8" s="11" t="str">
        <x:v>gnss_jamming</x:v>
      </x:c>
      <x:c r="H8" s="11" t="str"/>
      <x:c r="I8" s="11" t="str">
        <x:v>Interference regular near conflict zones; safety/resilience threat</x:v>
      </x:c>
      <x:c r="J8" s="11" t="str">
        <x:v>official assessment</x:v>
      </x:c>
      <x:c r="K8" s="11" t="str">
        <x:v>confirmed environmental</x:v>
      </x:c>
      <x:c r="L8" s="11" t="str">
        <x:v>documented wartime EW environment</x:v>
      </x:c>
      <x:c r="M8" s="11" t="str">
        <x:v>not an accident</x:v>
      </x:c>
      <x:c r="N8" s="11" t="str">
        <x:v>publicly acknowledged threat</x:v>
      </x:c>
      <x:c r="O8" s="11" t="str">
        <x:v>European action plan launched</x:v>
      </x:c>
      <x:c r="P8" s="11" t="str">
        <x:v>Marks official recognition of wartime PNT threat</x:v>
      </x:c>
      <x:c r="Q8" s="11" t="str">
        <x:v>https://www.easa.europa.eu/en/newsroom-and-events/press-releases/easa-and-eurocontrol-publish-joint-action-plan-ensure-safe</x:v>
      </x:c>
      <x:c r="R8" s="11" t="str">
        <x:v>Environmental row, not causal attribution to a crash</x:v>
      </x:c>
    </x:row>
    <x:row r="9">
      <x:c r="A9" s="11" t="str">
        <x:v>2026-07-03</x:v>
      </x:c>
      <x:c r="B9" s="11" t="str">
        <x:v>Iran-war observation</x:v>
      </x:c>
      <x:c r="C9" s="11" t="str">
        <x:v>Europe/neighbouring airspace</x:v>
      </x:c>
      <x:c r="D9" s="11" t="str">
        <x:v>GNSS/EW environment</x:v>
      </x:c>
      <x:c r="E9" s="11" t="str">
        <x:v>EASA</x:v>
      </x:c>
      <x:c r="F9" s="11" t="str">
        <x:v>GNSS SIB Revision 4</x:v>
      </x:c>
      <x:c r="G9" s="11" t="str">
        <x:v>gnss_jamming</x:v>
      </x:c>
      <x:c r="H9" s="11" t="str">
        <x:v>gnss_spoofing</x:v>
      </x:c>
      <x:c r="I9" s="11" t="str">
        <x:v>Recent jamming/spoofing occurrences prompted new mitigations</x:v>
      </x:c>
      <x:c r="J9" s="11" t="str">
        <x:v>official assessment</x:v>
      </x:c>
      <x:c r="K9" s="11" t="str">
        <x:v>confirmed environmental</x:v>
      </x:c>
      <x:c r="L9" s="11" t="str">
        <x:v>documented wartime/conflict-zone relevance</x:v>
      </x:c>
      <x:c r="M9" s="11" t="str">
        <x:v>not an accident</x:v>
      </x:c>
      <x:c r="N9" s="11" t="str">
        <x:v>publicly acknowledged threat</x:v>
      </x:c>
      <x:c r="O9" s="11" t="str">
        <x:v>Operational/training/ATC mitigations</x:v>
      </x:c>
      <x:c r="P9" s="11" t="str">
        <x:v>Shows interference severity/sophistication is independently documented</x:v>
      </x:c>
      <x:c r="Q9" s="11" t="str">
        <x:v>https://www.easa.europa.eu/en/newsroom-and-events/news/easa-updates-safety-information-bulletin-gnss-interference</x:v>
      </x:c>
      <x:c r="R9" s="11" t="str"/>
    </x:row>
    <x:row r="10">
      <x:c r="A10" s="11" t="str">
        <x:v>2026-09-17</x:v>
      </x:c>
      <x:c r="B10" s="11" t="str">
        <x:v>Iran-war observation</x:v>
      </x:c>
      <x:c r="C10" s="11" t="str">
        <x:v>NATO/European FIRs</x:v>
      </x:c>
      <x:c r="D10" s="11" t="str">
        <x:v>GNSS/EW environment</x:v>
      </x:c>
      <x:c r="E10" s="11" t="str">
        <x:v>EASA monitoring</x:v>
      </x:c>
      <x:c r="F10" s="11" t="str">
        <x:v>Multiple FIRs affected by GNSS interference</x:v>
      </x:c>
      <x:c r="G10" s="11" t="str">
        <x:v>gnss_jamming</x:v>
      </x:c>
      <x:c r="H10" s="11" t="str">
        <x:v>gnss_spoofing</x:v>
      </x:c>
      <x:c r="I10" s="11" t="str">
        <x:v>Affected FIR list includes Ankara, Istanbul, Bucharest, Sofia, Warsaw, Tallinn, Helsinki, Riga, Vilnius</x:v>
      </x:c>
      <x:c r="J10" s="11" t="str">
        <x:v>official monitoring</x:v>
      </x:c>
      <x:c r="K10" s="11" t="str">
        <x:v>confirmed environmental</x:v>
      </x:c>
      <x:c r="L10" s="11" t="str">
        <x:v>documented conflict-zone-linked interference</x:v>
      </x:c>
      <x:c r="M10" s="11" t="str">
        <x:v>not an accident</x:v>
      </x:c>
      <x:c r="N10" s="11" t="str">
        <x:v>publicly acknowledged threat</x:v>
      </x:c>
      <x:c r="O10" s="11" t="str">
        <x:v>Multi-country information environment</x:v>
      </x:c>
      <x:c r="P10" s="11" t="str">
        <x:v>Provides geographic overlap without proving incident causation</x:v>
      </x:c>
      <x:c r="Q10" s="11" t="str">
        <x:v>https://www.easa.europa.eu/en/domains/air-operations/global-navigation-satellite-system-outages-and-alterations</x:v>
      </x:c>
      <x:c r="R10" s="11" t="str">
        <x:v>Snapshot dated 17 Sep 2026</x:v>
      </x:c>
    </x:row>
  </x:sheetData>
  <x:dataValidations count="3">
    <x:dataValidation type="list" sqref="J2:J500">
      <x:formula1>"confirmed,official reported,official preliminary,credible reported,suspected,unknown,official assessment,confirmed external technical event"</x:formula1>
    </x:dataValidation>
    <x:dataValidation type="list" sqref="K2:K500">
      <x:formula1>"confirmed causal,confirmed contributory,confirmed environmental,information-system relevant,possible,specifically ruled out,no evidence either way,not applicable,unknown"</x:formula1>
    </x:dataValidation>
    <x:dataValidation type="list" sqref="M2:M500">
      <x:formula1>"no,yes - hostile,yes - friendly,not an accident,unknown"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29" t="str">
        <x:v>Current causal coding — working snapshot</x:v>
      </x:c>
      <x:c r="B1" s="11" t="str"/>
    </x:row>
    <x:row r="2">
      <x:c r="A2" s="30" t="str">
        <x:v>Metric</x:v>
      </x:c>
      <x:c r="B2" s="30" t="str">
        <x:v>Current ledger count</x:v>
      </x:c>
    </x:row>
    <x:row r="3">
      <x:c r="A3" s="11" t="str">
        <x:v>Rows in causal ledger</x:v>
      </x:c>
      <x:c r="B3" s="11" t="n">
        <x:f>COUNTA(Causal_Event_Ledger!A2:A500)</x:f>
        <x:v>9</x:v>
      </x:c>
    </x:row>
    <x:row r="4">
      <x:c r="A4" s="11" t="str">
        <x:v>Rows with confirmed environmental GNSS/EW</x:v>
      </x:c>
      <x:c r="B4" s="11" t="n">
        <x:f>COUNTIF(Causal_Event_Ledger!K2:K500,"confirmed environmental")</x:f>
        <x:v>3</x:v>
      </x:c>
    </x:row>
    <x:row r="5">
      <x:c r="A5" s="11" t="str">
        <x:v>Rows information-system relevant</x:v>
      </x:c>
      <x:c r="B5" s="11" t="n">
        <x:f>COUNTIF(Causal_Event_Ledger!K2:K500,"information-system relevant")</x:f>
        <x:v>5</x:v>
      </x:c>
    </x:row>
    <x:row r="6">
      <x:c r="A6" s="11" t="str">
        <x:v>Rows confirmed causal digital</x:v>
      </x:c>
      <x:c r="B6" s="11" t="n">
        <x:f>COUNTIF(Causal_Event_Ledger!K2:K500,"confirmed causal")</x:f>
        <x:v>1</x:v>
      </x:c>
    </x:row>
    <x:row r="7">
      <x:c r="A7" s="11" t="str">
        <x:v>Unknown / no evidence rows</x:v>
      </x:c>
      <x:c r="B7" s="11" t="n">
        <x:f>COUNTIF(Causal_Event_Ledger!K2:K500,"unknown")+COUNTIF(Causal_Event_Ledger!K2:K500,"no evidence either way")</x:f>
        <x:v>0</x:v>
      </x:c>
    </x:row>
    <x:row r="8">
      <x:c r="A8" s="11" t="str">
        <x:v>Important</x:v>
      </x:c>
      <x:c r="B8" s="11" t="str">
        <x:v>This sheet is descriptive of the backfilled ledger, not a claim about population rates until all years are populated.</x:v>
      </x:c>
    </x:row>
  </x:sheetData>
  <x:mergeCells>
    <x:mergeCell ref="A1:B1"/>
  </x:mergeCells>
  <x:pageMargins left="0.7" right="0.7" top="0.75" bottom="0.75" header="0.3" footer="0.3"/>
</x:worksheet>
</file>